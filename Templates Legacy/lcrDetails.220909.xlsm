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ConsSolimenoS\OneDrive - Nexi Group\Documenti - CPI_AFU\EBA_CL\Ext_Docs\API Interface Management\templates\CGS-DKK\Participants\Q12026\"/>
    </mc:Choice>
  </mc:AlternateContent>
  <bookViews>
    <workbookView xWindow="1950" yWindow="1950" windowWidth="21600" windowHeight="11390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8"/>
  <definedNames>
    <definedName name="_FilterDatabase" localSheetId="4" hidden="1">'200'!$A$2:$G$24</definedName>
    <definedName name="_FilterDatabase" localSheetId="0" hidden="1">'Data Type'!$A$2:$K$2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32" l="1"/>
  <c r="F3" i="34"/>
  <c r="F5" i="31"/>
  <c r="F11" i="32"/>
  <c r="F8" i="32"/>
  <c r="F23" i="32"/>
  <c r="F5" i="34"/>
  <c r="F5" i="32"/>
  <c r="F13" i="32"/>
  <c r="F15" i="32"/>
  <c r="F6" i="31"/>
  <c r="F7" i="31"/>
  <c r="F4" i="34"/>
  <c r="D3" i="34"/>
  <c r="F3" i="31"/>
  <c r="F7" i="32"/>
  <c r="F14" i="32"/>
  <c r="F25" i="32"/>
  <c r="F19" i="32"/>
  <c r="F22" i="32"/>
  <c r="F12" i="32"/>
  <c r="F6" i="32"/>
  <c r="F6" i="34"/>
  <c r="F3" i="32"/>
  <c r="F17" i="32"/>
  <c r="F4" i="32"/>
  <c r="D3" i="31"/>
  <c r="D5" i="31" s="1"/>
  <c r="D6" i="31" s="1"/>
  <c r="D7" i="31" s="1"/>
  <c r="F9" i="32"/>
  <c r="F20" i="32"/>
  <c r="D3" i="17"/>
  <c r="F24" i="32"/>
  <c r="D4" i="31"/>
  <c r="F4" i="31"/>
  <c r="F18" i="32"/>
  <c r="D3" i="32"/>
  <c r="F10" i="32"/>
  <c r="D4" i="34"/>
  <c r="F21" i="32"/>
  <c r="D4" i="32"/>
  <c r="D5" i="34"/>
  <c r="D6" i="34" s="1"/>
  <c r="D5" i="32"/>
  <c r="D6" i="32"/>
  <c r="D7" i="32"/>
  <c r="D8" i="32"/>
  <c r="D9" i="32" s="1"/>
  <c r="D10" i="32"/>
  <c r="D11" i="32"/>
  <c r="D12" i="32" s="1"/>
  <c r="D13" i="32" s="1"/>
  <c r="D14" i="32"/>
  <c r="D15" i="32"/>
  <c r="D16" i="32"/>
  <c r="D17" i="32" s="1"/>
  <c r="D18" i="32" s="1"/>
  <c r="D19" i="32" s="1"/>
  <c r="D20" i="32" s="1"/>
  <c r="D21" i="32" s="1"/>
  <c r="D22" i="32" s="1"/>
  <c r="D23" i="32" s="1"/>
  <c r="D24" i="32" s="1"/>
  <c r="D25" i="32"/>
</calcChain>
</file>

<file path=xl/sharedStrings.xml><?xml version="1.0" encoding="utf-8"?>
<sst xmlns="http://schemas.openxmlformats.org/spreadsheetml/2006/main" count="560" uniqueCount="270">
  <si>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</si>
  <si>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</si>
  <si>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</si>
  <si>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</si>
  <si>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</si>
  <si>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</si>
  <si>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</si>
  <si>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</si>
  <si>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</si>
  <si>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</si>
  <si>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</si>
  <si>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</si>
  <si>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</si>
  <si>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</si>
  <si>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</si>
  <si>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</si>
  <si>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</si>
  <si>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</si>
  <si>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</si>
  <si>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</si>
  <si>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</si>
  <si>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</si>
  <si>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</si>
  <si>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</si>
  <si>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</si>
  <si>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</si>
  <si>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</si>
  <si>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</si>
  <si>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</si>
  <si>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</si>
  <si>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</si>
  <si>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</si>
  <si>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</si>
  <si>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</t>
  </si>
  <si>
    <t>DateTime</t>
  </si>
  <si>
    <t>dateTime</t>
  </si>
  <si>
    <t>Standard ISO Date-Time.</t>
  </si>
  <si>
    <t>searchCriteria</t>
  </si>
  <si>
    <t>BIC11</t>
  </si>
  <si>
    <t>settlementBIC</t>
  </si>
  <si>
    <t>The Generic BIC of participant</t>
  </si>
  <si>
    <t>Date</t>
  </si>
  <si>
    <t>settlementDate</t>
  </si>
  <si>
    <t>Standard ISO Date.</t>
  </si>
  <si>
    <t>OperationReference</t>
  </si>
  <si>
    <t>The unique reference that identifies the operation leading to the Settlement BIC position</t>
  </si>
  <si>
    <t>lcrDetails</t>
  </si>
  <si>
    <t>Service</t>
  </si>
  <si>
    <t>service</t>
  </si>
  <si>
    <t>The identifier of the STEP2 Service</t>
  </si>
  <si>
    <t>businessDate</t>
  </si>
  <si>
    <t>BulkReference</t>
  </si>
  <si>
    <t>originalBulk</t>
  </si>
  <si>
    <t>The bulk reference of the file</t>
  </si>
  <si>
    <t>FileReference</t>
  </si>
  <si>
    <t>originalFileRef</t>
  </si>
  <si>
    <t>MessageType</t>
  </si>
  <si>
    <t>The type of message</t>
  </si>
  <si>
    <t>BIC8</t>
  </si>
  <si>
    <t>instgAgt</t>
  </si>
  <si>
    <t>The BIC of direct participant</t>
  </si>
  <si>
    <t>instdAgt</t>
  </si>
  <si>
    <t>instgSttlmBIC</t>
  </si>
  <si>
    <t>instdSttlmBIC</t>
  </si>
  <si>
    <t>LacNumber</t>
  </si>
  <si>
    <t>lacInputFromS2</t>
  </si>
  <si>
    <t>The LAC in which the relevant LCR was generated</t>
  </si>
  <si>
    <t>cgsLacInput</t>
  </si>
  <si>
    <t>cgsLacOutput</t>
  </si>
  <si>
    <t>Amount</t>
  </si>
  <si>
    <t>amount</t>
  </si>
  <si>
    <t>Standard Amount</t>
  </si>
  <si>
    <t>Number</t>
  </si>
  <si>
    <t>numTransactions</t>
  </si>
  <si>
    <t>Standard Number</t>
  </si>
  <si>
    <t>LcrStatus</t>
  </si>
  <si>
    <t>lcrStatus</t>
  </si>
  <si>
    <t>The LCR status</t>
  </si>
  <si>
    <t>s2LcrCreationTimestamp</t>
  </si>
  <si>
    <t>cgsLcrStatusUpdate</t>
  </si>
  <si>
    <t>ErrorCode</t>
  </si>
  <si>
    <t>errorCode</t>
  </si>
  <si>
    <t>Error code</t>
  </si>
  <si>
    <t>ErrorCodeDescription</t>
  </si>
  <si>
    <t>errorCodeDescription</t>
  </si>
  <si>
    <t>Message</t>
  </si>
  <si>
    <t>RequestId</t>
  </si>
  <si>
    <t>requestId</t>
  </si>
  <si>
    <t>O</t>
  </si>
  <si>
    <t>Request Identification</t>
  </si>
  <si>
    <t>InstructionTypeRequest</t>
  </si>
  <si>
    <t>Type of the instructions</t>
  </si>
  <si>
    <t>string</t>
  </si>
  <si>
    <t/>
  </si>
  <si>
    <t>RFU,RDE,FUN,DEF</t>
  </si>
  <si>
    <t>InstructionTypeResponse</t>
  </si>
  <si>
    <t>RFU,RDE,FRJ,PFU,TFU,T2F,RRT,RRM,SRE</t>
  </si>
  <si>
    <t>InstructionReference</t>
  </si>
  <si>
    <t>Instruction?s unique reference created by the system</t>
  </si>
  <si>
    <t>16</t>
  </si>
  <si>
    <t>InstructionStatus</t>
  </si>
  <si>
    <t>Instruction Status</t>
  </si>
  <si>
    <t>VAL,NVA,ERR,DEL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</si>
  <si>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</si>
  <si>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</si>
  <si>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</si>
  <si>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</si>
  <si>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Time</t>
  </si>
  <si>
    <t>Standard ISO Time.</t>
  </si>
  <si>
    <t>[0-9]{2,2}:[0-9]{2,2}:[0-9]{2,2}(\.[0-9]{1,6}){0,1}</t>
  </si>
  <si>
    <t>FileType</t>
  </si>
  <si>
    <t>The type of File</t>
  </si>
  <si>
    <t>LNR,LMR</t>
  </si>
  <si>
    <t>16!c</t>
  </si>
  <si>
    <t>[0-9A-Z]{16,16}</t>
  </si>
  <si>
    <t>FileStatus</t>
  </si>
  <si>
    <t>Status of the file</t>
  </si>
  <si>
    <t>TSD,TSG,ERR,RNS</t>
  </si>
  <si>
    <t>NetworkFileName</t>
  </si>
  <si>
    <t>Network file name of the file</t>
  </si>
  <si>
    <t>[A-Z0-9]{15,30}\.[A-Z]{1,1}</t>
  </si>
  <si>
    <t>Network</t>
  </si>
  <si>
    <t>Network from which the file is received or sent</t>
  </si>
  <si>
    <t>[A-Za-z0-9]{4,4}</t>
  </si>
  <si>
    <t>255</t>
  </si>
  <si>
    <t>Offset</t>
  </si>
  <si>
    <t>Offset is used in lists that support pagination</t>
  </si>
  <si>
    <t>number</t>
  </si>
  <si>
    <t>double</t>
  </si>
  <si>
    <t>Pacs.003,Pacs.004,Pacs.007,Pacs.008</t>
  </si>
  <si>
    <t>([A-Za-z0-9]|[+|\?|/|\-|:|\(|\)|\.|,|']){1,35}</t>
  </si>
  <si>
    <t>ParticipantName</t>
  </si>
  <si>
    <t>Name of Participant</t>
  </si>
  <si>
    <t>(^\S+.*){1,50}</t>
  </si>
  <si>
    <t>ParticipantStatus</t>
  </si>
  <si>
    <t>Status of participant</t>
  </si>
  <si>
    <t>INS,ENB,DIS,SUS,CHG</t>
  </si>
  <si>
    <t>Boolean</t>
  </si>
  <si>
    <t>True or False indicator</t>
  </si>
  <si>
    <t>boolean</t>
  </si>
  <si>
    <t>CommandReference</t>
  </si>
  <si>
    <t>Command reference</t>
  </si>
  <si>
    <t>22</t>
  </si>
  <si>
    <t>CommandType</t>
  </si>
  <si>
    <t>Command type</t>
  </si>
  <si>
    <t>L01,L02,L03,L04,F02,F03,F01,F04</t>
  </si>
  <si>
    <t>CommandStatus</t>
  </si>
  <si>
    <t>Command status.</t>
  </si>
  <si>
    <t>TO BE AUTHORIZED,EXECUTED,REJECTED</t>
  </si>
  <si>
    <t>EventType</t>
  </si>
  <si>
    <t>Event type</t>
  </si>
  <si>
    <t>SEC,FTL,ERR,WRN,NOR</t>
  </si>
  <si>
    <t>EventDescription</t>
  </si>
  <si>
    <t>Event description</t>
  </si>
  <si>
    <t>1000</t>
  </si>
  <si>
    <t>36</t>
  </si>
  <si>
    <t>[0-9]{1,2}</t>
  </si>
  <si>
    <t>STTLD,CANC,REVK,RJCT,QUEU</t>
  </si>
  <si>
    <t>Day</t>
  </si>
  <si>
    <t>1</t>
  </si>
  <si>
    <t>5</t>
  </si>
  <si>
    <t>YearMonth</t>
  </si>
  <si>
    <t>Numeric Year Month in YYYYMM format</t>
  </si>
  <si>
    <t>integer</t>
  </si>
  <si>
    <t>201001</t>
  </si>
  <si>
    <t>299912</t>
  </si>
  <si>
    <t>ModuleIdentifier</t>
  </si>
  <si>
    <t>CGS</t>
  </si>
  <si>
    <t>Sign</t>
  </si>
  <si>
    <t>C,D</t>
  </si>
  <si>
    <t>User</t>
  </si>
  <si>
    <t>8</t>
  </si>
  <si>
    <t>TransferType</t>
  </si>
  <si>
    <t>F,D</t>
  </si>
  <si>
    <t>The date and time of the API Request creation</t>
  </si>
  <si>
    <t>lcrReference</t>
  </si>
  <si>
    <t>The reference of the LCR</t>
  </si>
  <si>
    <t>The relevant business date</t>
  </si>
  <si>
    <t xml:space="preserve">The original bulk reference </t>
  </si>
  <si>
    <t>The original input file reference</t>
  </si>
  <si>
    <t>The bulk type</t>
  </si>
  <si>
    <t>The STEP2 DP Instructing Agent.
Corresponds to the Credit Party DP for Pacs.003 and Pacs.004 messages processed in SDD;
Corresponds Debit Party for Pacs.004 and Pacs.008 in SCT and for Pacs.007 in SDD</t>
  </si>
  <si>
    <t>The STEP2 DP Instructed Agent.
Corresponds to the Debit Party DP for Pacs.003 and Pacs.004 messages processed in SDD;
Corresponds Credit Party for Pacs.004 and Pacs.008 in SCT and for Pacs.007 in SDD.</t>
  </si>
  <si>
    <t>The Settlement BIC configured for the Instructing Agent</t>
  </si>
  <si>
    <t>The Settlement BIC configured for the Instructed Agent</t>
  </si>
  <si>
    <t>The LAC running on the relevant STEP2 Service when the LCR has been put on the Request Input Queue</t>
  </si>
  <si>
    <t>The LAC running on CGS Module when the LCR has been retrieved from the Request Input Queue</t>
  </si>
  <si>
    <t>The LAC running on CGS when the LCR has been put on the Response Output Queue</t>
  </si>
  <si>
    <t>The amount managed in the relevant LCR</t>
  </si>
  <si>
    <t>The timestamp when the STEP2 Service created the LCR</t>
  </si>
  <si>
    <t>The timestamp when the CGS updated positively/negatively the LCR status and sent back the outcome to the related STEP2 Service</t>
  </si>
  <si>
    <t>The BIC sending the API Request</t>
  </si>
  <si>
    <t>Validation Rules</t>
  </si>
  <si>
    <t>It must be previous or equal to the current date  (errorCode DT01)</t>
  </si>
  <si>
    <t>The LCR Reference</t>
  </si>
  <si>
    <t>The relevant Settlement BIC</t>
  </si>
  <si>
    <t>It must be a valid reference
(errorCode SC01)</t>
  </si>
  <si>
    <t>The date and time of the API Response creation</t>
  </si>
  <si>
    <t>The relevant error code</t>
  </si>
  <si>
    <t>The error code description</t>
  </si>
  <si>
    <t>The API Request Identification</t>
  </si>
  <si>
    <t>999999999999999.99</t>
  </si>
  <si>
    <t>The number of transactions included in the relevant LCR
[maximum length 12n]</t>
  </si>
  <si>
    <t>999999999999</t>
  </si>
  <si>
    <t>dbrCrdFlag</t>
  </si>
  <si>
    <t>Track Changes</t>
  </si>
  <si>
    <t>Bic11Only</t>
  </si>
  <si>
    <t>11</t>
  </si>
  <si>
    <t>credPartyBIC</t>
  </si>
  <si>
    <t>The Credit Party BIC
This field corresponds to the Instructed Agent of the original instruction for Pacs.004 and Pacs.008</t>
  </si>
  <si>
    <t>debPartyBIC</t>
  </si>
  <si>
    <t>The Debit Party BIC
This field corresponds to the Instructing Agent of the original instruction for Pacs.004 and Pacs.008</t>
  </si>
  <si>
    <t>[220301] - (SS)
CR3980 added field</t>
  </si>
  <si>
    <t>[220301] - (SS)
CR3990 modified field</t>
  </si>
  <si>
    <t>Whether the LCR results in a debit or credit position
C=Credit
D=Debit</t>
  </si>
  <si>
    <t>[220301] - (SS)
CR3980 modified field and validation rule</t>
  </si>
  <si>
    <t>It must correspond to one of the settlement BIC configured for the senderBIC, corresponding to the Preferred Agent (errorCode PY01)</t>
  </si>
  <si>
    <t>bulkType</t>
  </si>
  <si>
    <r>
      <rPr>
        <sz val="10"/>
        <rFont val="Calibri"/>
        <family val="2"/>
        <scheme val="minor"/>
      </rPr>
      <t>[220630] - (SS) Added NTD rule- CR3985</t>
    </r>
    <r>
      <rPr>
        <sz val="10"/>
        <color rgb="FFFF0000"/>
        <rFont val="Calibri"/>
        <family val="2"/>
        <scheme val="minor"/>
      </rPr>
      <t xml:space="preserve">
[230301] - (SS) Deleted NTD rule- Errata list item 004</t>
    </r>
  </si>
  <si>
    <t>It must be equal to the BIC of the DP certificate (errorCode XA02) 
Sending DP must not have status “Disabled” or “Changed” (errorCode PY01)</t>
  </si>
  <si>
    <t>4!c2!a2!c[3!c]</t>
  </si>
  <si>
    <t>[A-Z0-9]{4,4}[A-Z]{2,2}[A-Z0-9]{2,2}([A-Z0-9]{3,3}){0,1}</t>
  </si>
  <si>
    <t>4!c2!a2!c3!c</t>
  </si>
  <si>
    <t>[A-Z0-9]{4,4}[A-Z]{2,2}[A-Z0-9]{2,2}([A-Z0-9]{3,3})</t>
  </si>
  <si>
    <t>4!c2!a2!c</t>
  </si>
  <si>
    <t>[A-Z0-9]{4,4}[A-Z]{2,2}[A-Z0-9]{2,2}</t>
  </si>
  <si>
    <t>1000; 100000; 99999.01</t>
  </si>
  <si>
    <t>TESBIC22XXX; TESBIC33XXX; TESBIC99XXX</t>
  </si>
  <si>
    <t>IPSDID21XXX; TESBIC11XXX; TESBIC99XXX</t>
  </si>
  <si>
    <t>TESTIT88; BICDPA23; DPBICA88</t>
  </si>
  <si>
    <t>true; false</t>
  </si>
  <si>
    <t>TESTBULKREF135000000000000000000123; TESTBULKREF135000000000000000999999; TESTBULKREF135123400000000000000567</t>
  </si>
  <si>
    <t>F010190208113908; F011390508223918; F123456789012345</t>
  </si>
  <si>
    <t>TO BE AUTHORIZED, EXECUTED, REJECTED</t>
  </si>
  <si>
    <t>F01, F02; F03</t>
  </si>
  <si>
    <t>2019-06-21T23:20:50.000001; 2024-11-08T14:29:00.012345; 9999-12-31T12:55:45.000001</t>
  </si>
  <si>
    <t>11; 23; 29</t>
  </si>
  <si>
    <t>AX01; R01, XT92</t>
  </si>
  <si>
    <t>Transaction rejected; File rejected; Schema error</t>
  </si>
  <si>
    <t>SETTLEMENT BIC INPART001 IS NOT PRESENT; OPERATION NOT ALLOWED; SAMPLE EVENT DESCRIPTION</t>
  </si>
  <si>
    <t>WRN; SEC; ERR</t>
  </si>
  <si>
    <t>TESTFILEREF01234; CGSTFILEREF01234; TESTFILEREF09999</t>
  </si>
  <si>
    <t>TSD; ERR; RNS</t>
  </si>
  <si>
    <t>LNR, LMR</t>
  </si>
  <si>
    <t>INSREF1234567890; INSREF1234567111; INSREF1234567222</t>
  </si>
  <si>
    <t>VAL; ERR; DEL</t>
  </si>
  <si>
    <t>RFU; FUN; DEF</t>
  </si>
  <si>
    <t>RDE; TFU; SRE</t>
  </si>
  <si>
    <t>01; 02; 10</t>
  </si>
  <si>
    <t>STTLD; CANC; REVK</t>
  </si>
  <si>
    <t>Pacs.008; Pacs.003; Pacs.004</t>
  </si>
  <si>
    <t>AAaa88ss2345fggGGDDaaaHH; AAaa88ss2345fggAABBaaaCC; AAaa11ss2345fgg1122aaaLM</t>
  </si>
  <si>
    <t>ExampleBank01; ExampleBank02; ExampleBank03</t>
  </si>
  <si>
    <t>ENB; DIS; SUS</t>
  </si>
  <si>
    <t>REQID000011112222333445661234567890; REQID000011112222333445661234567891; REQID000011112222333445661234567892</t>
  </si>
  <si>
    <t>BICA121X; BICB991X; BICC001X;</t>
  </si>
  <si>
    <t>C; D</t>
  </si>
  <si>
    <t>16:00:00; 00:00:01; 23:59:59</t>
  </si>
  <si>
    <t>F; D</t>
  </si>
  <si>
    <t>APIUSER1; APIUSER2; APIUSER3</t>
  </si>
  <si>
    <t>202411; 201801; 299912</t>
  </si>
  <si>
    <t>Sender's File Reference for the file. Generated by the sending DP for ICFs and by the STEP2-DKK central system for all others files</t>
  </si>
  <si>
    <t>EAS,EBX,SWF,SWA,SWS,SMW</t>
  </si>
  <si>
    <t>SWF; EAS; EBX</t>
  </si>
  <si>
    <t>S202DCTTESTITMM_F800AAA.I; S202DCTTESTITMM_F111ABC.I; S202DCTTESTITMM_F999AAA.I</t>
  </si>
  <si>
    <t>The identifier of the STEP2-DKK Service</t>
  </si>
  <si>
    <t>DCT</t>
  </si>
  <si>
    <t>2019-06-21; 2024-11-08; 9999-12-31</t>
  </si>
  <si>
    <t>REF0123456789111; REF0123456789000; REF0123456789123</t>
  </si>
  <si>
    <t>100000; 999999999999;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</si>
</sst>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28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ont="1" applyFill="1" applyBorder="1" applyAlignment="1">
      <alignment vertical="top" wrapText="1"/>
    </xf>
    <xf numFmtId="49" fontId="3" fillId="3" borderId="3" xfId="3" applyNumberFormat="1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7" fillId="0" borderId="0" xfId="0" applyFont="1" applyAlignment="1">
      <alignment vertical="top" wrapText="1"/>
    </xf>
    <xf numFmtId="49" fontId="8" fillId="0" borderId="0" xfId="0" applyNumberFormat="1" applyFont="1" applyAlignment="1">
      <alignment vertical="top" wrapText="1"/>
    </xf>
    <xf numFmtId="0" fontId="9" fillId="0" borderId="0" xfId="0" applyFont="1"/>
    <xf numFmtId="49" fontId="8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0" fontId="8" fillId="0" borderId="0" xfId="0" applyNumberFormat="1" applyFont="1" applyAlignment="1">
      <alignment vertical="top" wrapText="1"/>
    </xf>
    <xf numFmtId="0" fontId="7" fillId="0" borderId="0" xfId="0" applyFont="1" applyFill="1" applyAlignment="1">
      <alignment vertical="top" wrapText="1"/>
    </xf>
    <xf numFmtId="0" fontId="10" fillId="0" borderId="0" xfId="0" applyNumberFormat="1" applyFont="1" applyAlignment="1">
      <alignment vertical="top" wrapText="1"/>
    </xf>
    <xf numFmtId="0" fontId="8" fillId="0" borderId="0" xfId="0" applyNumberFormat="1" applyFont="1" applyFill="1" applyAlignment="1">
      <alignment vertical="top" wrapText="1"/>
    </xf>
    <xf numFmtId="0" fontId="8" fillId="0" borderId="0" xfId="0" applyFont="1" applyFill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4">
    <cellStyle name="Migliaia" xfId="1" builtinId="3"/>
    <cellStyle name="Normale" xfId="0" builtinId="0"/>
    <cellStyle name="Titolo 1" xfId="2" builtinId="16"/>
    <cellStyle name="Titolo 3" xfId="3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7" tint="0.59999389629810485"/>
  </sheetPr>
  <dimension ref="A1:L46"/>
  <sheetViews>
    <sheetView tabSelected="1" zoomScale="85" zoomScaleNormal="85" workbookViewId="0">
      <pane xSplit="1" ySplit="2" topLeftCell="D30" activePane="bottomRight" state="frozenSplit"/>
      <selection pane="topRight" activeCell="H1" sqref="H1"/>
      <selection pane="bottomLeft" activeCell="A20" sqref="A20"/>
      <selection pane="bottomRight" activeCell="K33" sqref="K33"/>
    </sheetView>
  </sheetViews>
  <sheetFormatPr defaultColWidth="9.1796875" defaultRowHeight="13" x14ac:dyDescent="0.35"/>
  <cols>
    <col min="1" max="1" width="20.81640625" style="9" customWidth="1"/>
    <col min="2" max="2" width="23" style="9" customWidth="1"/>
    <col min="3" max="4" width="8.1796875" style="9" customWidth="1"/>
    <col min="5" max="5" width="20.81640625" style="9" customWidth="1"/>
    <col min="6" max="7" width="18.1796875" style="12" bestFit="1" customWidth="1"/>
    <col min="8" max="8" width="33.1796875" style="9" customWidth="1"/>
    <col min="9" max="9" width="65.1796875" style="9" bestFit="1" customWidth="1"/>
    <col min="10" max="10" width="16.54296875" style="9" customWidth="1"/>
    <col min="11" max="11" width="34.453125" style="9" customWidth="1"/>
    <col min="12" max="12" width="20.81640625" style="9" customWidth="1"/>
    <col min="13" max="16384" width="9.1796875" style="9"/>
  </cols>
  <sheetData>
    <row r="1" spans="1:12" ht="19.5" customHeight="1" x14ac:dyDescent="0.35">
      <c r="B1" s="23" t="s">
        <v>8</v>
      </c>
      <c r="C1" s="23"/>
      <c r="D1" s="23"/>
      <c r="E1" s="23"/>
      <c r="F1" s="23"/>
      <c r="G1" s="23"/>
      <c r="H1" s="23"/>
      <c r="I1" s="23"/>
      <c r="J1" s="23"/>
      <c r="K1" s="24"/>
    </row>
    <row r="2" spans="1:12" s="11" customFormat="1" ht="29" x14ac:dyDescent="0.35">
      <c r="A2" s="10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10" t="s">
        <v>205</v>
      </c>
    </row>
    <row r="3" spans="1:12" x14ac:dyDescent="0.35">
      <c r="A3" s="9" t="s">
        <v>69</v>
      </c>
      <c r="B3" s="9" t="s">
        <v>71</v>
      </c>
      <c r="C3" s="9" t="s">
        <v>127</v>
      </c>
      <c r="D3" s="9" t="s">
        <v>128</v>
      </c>
      <c r="G3" s="12" t="s">
        <v>201</v>
      </c>
      <c r="H3" s="9" t="s">
        <v>93</v>
      </c>
      <c r="J3" s="9" t="s">
        <v>93</v>
      </c>
      <c r="K3" s="9" t="s">
        <v>226</v>
      </c>
    </row>
    <row r="4" spans="1:12" x14ac:dyDescent="0.35">
      <c r="A4" s="9" t="s">
        <v>29</v>
      </c>
      <c r="B4" s="9" t="s">
        <v>93</v>
      </c>
      <c r="C4" s="9" t="s">
        <v>29</v>
      </c>
      <c r="E4" s="9" t="s">
        <v>30</v>
      </c>
      <c r="J4" s="9" t="s">
        <v>93</v>
      </c>
      <c r="K4" s="9" t="s">
        <v>93</v>
      </c>
    </row>
    <row r="5" spans="1:12" ht="26" x14ac:dyDescent="0.35">
      <c r="A5" s="9" t="s">
        <v>38</v>
      </c>
      <c r="B5" s="9" t="s">
        <v>40</v>
      </c>
      <c r="C5" s="9" t="s">
        <v>92</v>
      </c>
      <c r="H5" s="9" t="s">
        <v>220</v>
      </c>
      <c r="I5" s="9" t="s">
        <v>221</v>
      </c>
      <c r="J5" s="9" t="s">
        <v>93</v>
      </c>
      <c r="K5" s="9" t="s">
        <v>227</v>
      </c>
    </row>
    <row r="6" spans="1:12" s="14" customFormat="1" ht="14.5" x14ac:dyDescent="0.35">
      <c r="A6" s="14" t="s">
        <v>206</v>
      </c>
      <c r="B6" s="15"/>
      <c r="C6" s="14" t="s">
        <v>92</v>
      </c>
      <c r="D6" s="15"/>
      <c r="E6" s="15"/>
      <c r="F6" s="16" t="s">
        <v>207</v>
      </c>
      <c r="G6" s="16" t="s">
        <v>207</v>
      </c>
      <c r="H6" s="14" t="s">
        <v>222</v>
      </c>
      <c r="I6" s="14" t="s">
        <v>223</v>
      </c>
      <c r="J6" s="15"/>
      <c r="K6" s="14" t="s">
        <v>228</v>
      </c>
      <c r="L6" s="17"/>
    </row>
    <row r="7" spans="1:12" x14ac:dyDescent="0.35">
      <c r="A7" s="9" t="s">
        <v>58</v>
      </c>
      <c r="B7" s="9" t="s">
        <v>60</v>
      </c>
      <c r="C7" s="9" t="s">
        <v>92</v>
      </c>
      <c r="H7" s="9" t="s">
        <v>224</v>
      </c>
      <c r="I7" s="9" t="s">
        <v>225</v>
      </c>
      <c r="J7" s="9" t="s">
        <v>93</v>
      </c>
      <c r="K7" s="9" t="s">
        <v>229</v>
      </c>
    </row>
    <row r="8" spans="1:12" x14ac:dyDescent="0.35">
      <c r="A8" s="9" t="s">
        <v>137</v>
      </c>
      <c r="B8" s="9" t="s">
        <v>138</v>
      </c>
      <c r="C8" s="9" t="s">
        <v>139</v>
      </c>
      <c r="H8" s="9" t="s">
        <v>93</v>
      </c>
      <c r="J8" s="9" t="s">
        <v>93</v>
      </c>
      <c r="K8" s="9" t="s">
        <v>230</v>
      </c>
    </row>
    <row r="9" spans="1:12" ht="39" x14ac:dyDescent="0.35">
      <c r="A9" s="9" t="s">
        <v>51</v>
      </c>
      <c r="B9" s="9" t="s">
        <v>53</v>
      </c>
      <c r="C9" s="9" t="s">
        <v>92</v>
      </c>
      <c r="I9" s="9" t="s">
        <v>130</v>
      </c>
      <c r="J9" s="9" t="s">
        <v>93</v>
      </c>
      <c r="K9" s="9" t="s">
        <v>231</v>
      </c>
    </row>
    <row r="10" spans="1:12" ht="26" x14ac:dyDescent="0.35">
      <c r="A10" s="9" t="s">
        <v>140</v>
      </c>
      <c r="B10" s="9" t="s">
        <v>141</v>
      </c>
      <c r="C10" s="9" t="s">
        <v>92</v>
      </c>
      <c r="G10" s="12" t="s">
        <v>142</v>
      </c>
      <c r="H10" s="9" t="s">
        <v>93</v>
      </c>
      <c r="J10" s="9" t="s">
        <v>93</v>
      </c>
      <c r="K10" s="9" t="s">
        <v>232</v>
      </c>
    </row>
    <row r="11" spans="1:12" ht="39" x14ac:dyDescent="0.35">
      <c r="A11" s="9" t="s">
        <v>146</v>
      </c>
      <c r="B11" s="9" t="s">
        <v>147</v>
      </c>
      <c r="C11" s="9" t="s">
        <v>92</v>
      </c>
      <c r="H11" s="9" t="s">
        <v>93</v>
      </c>
      <c r="J11" s="9" t="s">
        <v>148</v>
      </c>
      <c r="K11" s="9" t="s">
        <v>233</v>
      </c>
    </row>
    <row r="12" spans="1:12" ht="26" x14ac:dyDescent="0.35">
      <c r="A12" s="9" t="s">
        <v>143</v>
      </c>
      <c r="B12" s="9" t="s">
        <v>144</v>
      </c>
      <c r="C12" s="9" t="s">
        <v>92</v>
      </c>
      <c r="H12" s="9" t="s">
        <v>93</v>
      </c>
      <c r="J12" s="9" t="s">
        <v>145</v>
      </c>
      <c r="K12" s="9" t="s">
        <v>234</v>
      </c>
    </row>
    <row r="13" spans="1:12" x14ac:dyDescent="0.35">
      <c r="A13" s="9" t="s">
        <v>41</v>
      </c>
      <c r="B13" s="9" t="s">
        <v>43</v>
      </c>
      <c r="C13" s="9" t="s">
        <v>92</v>
      </c>
      <c r="H13" s="9" t="s">
        <v>103</v>
      </c>
      <c r="I13" s="9" t="s">
        <v>104</v>
      </c>
      <c r="J13" s="9" t="s">
        <v>93</v>
      </c>
      <c r="K13" s="9" t="s">
        <v>267</v>
      </c>
    </row>
    <row r="14" spans="1:12" ht="39" x14ac:dyDescent="0.35">
      <c r="A14" s="9" t="s">
        <v>34</v>
      </c>
      <c r="B14" s="9" t="s">
        <v>36</v>
      </c>
      <c r="C14" s="9" t="s">
        <v>92</v>
      </c>
      <c r="H14" s="9" t="s">
        <v>105</v>
      </c>
      <c r="I14" s="9" t="s">
        <v>106</v>
      </c>
      <c r="J14" s="9" t="s">
        <v>93</v>
      </c>
      <c r="K14" s="9" t="s">
        <v>235</v>
      </c>
    </row>
    <row r="15" spans="1:12" x14ac:dyDescent="0.35">
      <c r="A15" s="9" t="s">
        <v>158</v>
      </c>
      <c r="B15" s="9" t="s">
        <v>93</v>
      </c>
      <c r="C15" s="9" t="s">
        <v>127</v>
      </c>
      <c r="F15" s="12" t="s">
        <v>159</v>
      </c>
      <c r="G15" s="12" t="s">
        <v>160</v>
      </c>
      <c r="H15" s="9" t="s">
        <v>93</v>
      </c>
      <c r="J15" s="9" t="s">
        <v>93</v>
      </c>
      <c r="K15" s="9" t="s">
        <v>236</v>
      </c>
    </row>
    <row r="16" spans="1:12" x14ac:dyDescent="0.35">
      <c r="A16" s="9" t="s">
        <v>80</v>
      </c>
      <c r="B16" s="9" t="s">
        <v>82</v>
      </c>
      <c r="C16" s="9" t="s">
        <v>92</v>
      </c>
      <c r="I16" s="9" t="s">
        <v>123</v>
      </c>
      <c r="J16" s="9" t="s">
        <v>93</v>
      </c>
      <c r="K16" s="9" t="s">
        <v>237</v>
      </c>
    </row>
    <row r="17" spans="1:11" ht="26" x14ac:dyDescent="0.35">
      <c r="A17" s="9" t="s">
        <v>83</v>
      </c>
      <c r="B17" s="9" t="s">
        <v>85</v>
      </c>
      <c r="C17" s="9" t="s">
        <v>92</v>
      </c>
      <c r="G17" s="12" t="s">
        <v>124</v>
      </c>
      <c r="H17" s="9" t="s">
        <v>93</v>
      </c>
      <c r="J17" s="9" t="s">
        <v>93</v>
      </c>
      <c r="K17" s="9" t="s">
        <v>238</v>
      </c>
    </row>
    <row r="18" spans="1:11" ht="39" x14ac:dyDescent="0.35">
      <c r="A18" s="9" t="s">
        <v>152</v>
      </c>
      <c r="B18" s="9" t="s">
        <v>153</v>
      </c>
      <c r="C18" s="9" t="s">
        <v>92</v>
      </c>
      <c r="G18" s="12" t="s">
        <v>154</v>
      </c>
      <c r="H18" s="9" t="s">
        <v>93</v>
      </c>
      <c r="J18" s="9" t="s">
        <v>93</v>
      </c>
      <c r="K18" s="9" t="s">
        <v>239</v>
      </c>
    </row>
    <row r="19" spans="1:11" ht="26" x14ac:dyDescent="0.35">
      <c r="A19" s="9" t="s">
        <v>149</v>
      </c>
      <c r="B19" s="9" t="s">
        <v>150</v>
      </c>
      <c r="C19" s="9" t="s">
        <v>92</v>
      </c>
      <c r="H19" s="9" t="s">
        <v>93</v>
      </c>
      <c r="J19" s="9" t="s">
        <v>151</v>
      </c>
      <c r="K19" s="9" t="s">
        <v>240</v>
      </c>
    </row>
    <row r="20" spans="1:11" ht="65" x14ac:dyDescent="0.35">
      <c r="A20" s="9" t="s">
        <v>54</v>
      </c>
      <c r="B20" s="9" t="s">
        <v>261</v>
      </c>
      <c r="C20" s="9" t="s">
        <v>92</v>
      </c>
      <c r="H20" s="9" t="s">
        <v>113</v>
      </c>
      <c r="I20" s="9" t="s">
        <v>114</v>
      </c>
      <c r="J20" s="9" t="s">
        <v>93</v>
      </c>
      <c r="K20" s="9" t="s">
        <v>241</v>
      </c>
    </row>
    <row r="21" spans="1:11" x14ac:dyDescent="0.35">
      <c r="A21" s="9" t="s">
        <v>115</v>
      </c>
      <c r="B21" s="9" t="s">
        <v>116</v>
      </c>
      <c r="C21" s="9" t="s">
        <v>92</v>
      </c>
      <c r="H21" s="9" t="s">
        <v>93</v>
      </c>
      <c r="J21" s="9" t="s">
        <v>117</v>
      </c>
      <c r="K21" s="9" t="s">
        <v>242</v>
      </c>
    </row>
    <row r="22" spans="1:11" x14ac:dyDescent="0.35">
      <c r="A22" s="9" t="s">
        <v>110</v>
      </c>
      <c r="B22" s="9" t="s">
        <v>111</v>
      </c>
      <c r="C22" s="9" t="s">
        <v>92</v>
      </c>
      <c r="H22" s="9" t="s">
        <v>93</v>
      </c>
      <c r="J22" s="9" t="s">
        <v>112</v>
      </c>
      <c r="K22" s="9" t="s">
        <v>243</v>
      </c>
    </row>
    <row r="23" spans="1:11" ht="39" x14ac:dyDescent="0.35">
      <c r="A23" s="9" t="s">
        <v>97</v>
      </c>
      <c r="B23" s="9" t="s">
        <v>98</v>
      </c>
      <c r="C23" s="9" t="s">
        <v>92</v>
      </c>
      <c r="G23" s="12" t="s">
        <v>99</v>
      </c>
      <c r="H23" s="9" t="s">
        <v>93</v>
      </c>
      <c r="J23" s="9" t="s">
        <v>93</v>
      </c>
      <c r="K23" s="9" t="s">
        <v>244</v>
      </c>
    </row>
    <row r="24" spans="1:11" x14ac:dyDescent="0.35">
      <c r="A24" s="9" t="s">
        <v>100</v>
      </c>
      <c r="B24" s="9" t="s">
        <v>101</v>
      </c>
      <c r="C24" s="9" t="s">
        <v>92</v>
      </c>
      <c r="H24" s="9" t="s">
        <v>93</v>
      </c>
      <c r="J24" s="9" t="s">
        <v>102</v>
      </c>
      <c r="K24" s="9" t="s">
        <v>245</v>
      </c>
    </row>
    <row r="25" spans="1:11" x14ac:dyDescent="0.35">
      <c r="A25" s="9" t="s">
        <v>90</v>
      </c>
      <c r="B25" s="9" t="s">
        <v>91</v>
      </c>
      <c r="C25" s="9" t="s">
        <v>92</v>
      </c>
      <c r="H25" s="9" t="s">
        <v>93</v>
      </c>
      <c r="J25" s="9" t="s">
        <v>94</v>
      </c>
      <c r="K25" s="9" t="s">
        <v>246</v>
      </c>
    </row>
    <row r="26" spans="1:11" ht="26" x14ac:dyDescent="0.35">
      <c r="A26" s="9" t="s">
        <v>95</v>
      </c>
      <c r="B26" s="9" t="s">
        <v>91</v>
      </c>
      <c r="C26" s="9" t="s">
        <v>92</v>
      </c>
      <c r="H26" s="9" t="s">
        <v>93</v>
      </c>
      <c r="J26" s="9" t="s">
        <v>96</v>
      </c>
      <c r="K26" s="9" t="s">
        <v>247</v>
      </c>
    </row>
    <row r="27" spans="1:11" ht="26" x14ac:dyDescent="0.35">
      <c r="A27" s="9" t="s">
        <v>64</v>
      </c>
      <c r="B27" s="9" t="s">
        <v>66</v>
      </c>
      <c r="C27" s="9" t="s">
        <v>92</v>
      </c>
      <c r="I27" s="9" t="s">
        <v>156</v>
      </c>
      <c r="J27" s="9" t="s">
        <v>93</v>
      </c>
      <c r="K27" s="9" t="s">
        <v>248</v>
      </c>
    </row>
    <row r="28" spans="1:11" ht="26" x14ac:dyDescent="0.35">
      <c r="A28" s="9" t="s">
        <v>75</v>
      </c>
      <c r="B28" s="9" t="s">
        <v>77</v>
      </c>
      <c r="C28" s="9" t="s">
        <v>92</v>
      </c>
      <c r="H28" s="9" t="s">
        <v>93</v>
      </c>
      <c r="J28" s="9" t="s">
        <v>157</v>
      </c>
      <c r="K28" s="9" t="s">
        <v>249</v>
      </c>
    </row>
    <row r="29" spans="1:11" ht="26" x14ac:dyDescent="0.35">
      <c r="A29" s="9" t="s">
        <v>56</v>
      </c>
      <c r="B29" s="9" t="s">
        <v>57</v>
      </c>
      <c r="C29" s="9" t="s">
        <v>92</v>
      </c>
      <c r="H29" s="9" t="s">
        <v>93</v>
      </c>
      <c r="J29" s="9" t="s">
        <v>129</v>
      </c>
      <c r="K29" s="9" t="s">
        <v>250</v>
      </c>
    </row>
    <row r="30" spans="1:11" x14ac:dyDescent="0.35">
      <c r="A30" s="9" t="s">
        <v>166</v>
      </c>
      <c r="B30" s="9" t="s">
        <v>93</v>
      </c>
      <c r="C30" s="9" t="s">
        <v>92</v>
      </c>
      <c r="H30" s="9" t="s">
        <v>93</v>
      </c>
      <c r="J30" s="9" t="s">
        <v>167</v>
      </c>
      <c r="K30" s="9" t="s">
        <v>167</v>
      </c>
    </row>
    <row r="31" spans="1:11" ht="26" x14ac:dyDescent="0.35">
      <c r="A31" s="9" t="s">
        <v>121</v>
      </c>
      <c r="B31" s="9" t="s">
        <v>122</v>
      </c>
      <c r="C31" s="9" t="s">
        <v>92</v>
      </c>
      <c r="H31" s="9" t="s">
        <v>93</v>
      </c>
      <c r="J31" s="9" t="s">
        <v>262</v>
      </c>
      <c r="K31" s="9" t="s">
        <v>263</v>
      </c>
    </row>
    <row r="32" spans="1:11" ht="39" x14ac:dyDescent="0.35">
      <c r="A32" s="9" t="s">
        <v>118</v>
      </c>
      <c r="B32" s="9" t="s">
        <v>119</v>
      </c>
      <c r="C32" s="9" t="s">
        <v>92</v>
      </c>
      <c r="I32" s="9" t="s">
        <v>120</v>
      </c>
      <c r="J32" s="9" t="s">
        <v>93</v>
      </c>
      <c r="K32" s="9" t="s">
        <v>264</v>
      </c>
    </row>
    <row r="33" spans="1:11" x14ac:dyDescent="0.35">
      <c r="A33" s="9" t="s">
        <v>72</v>
      </c>
      <c r="B33" s="9" t="s">
        <v>74</v>
      </c>
      <c r="C33" s="9" t="s">
        <v>127</v>
      </c>
      <c r="G33" s="12" t="s">
        <v>203</v>
      </c>
      <c r="H33" s="9" t="s">
        <v>93</v>
      </c>
      <c r="J33" s="9" t="s">
        <v>93</v>
      </c>
      <c r="K33" s="9" t="s">
        <v>269</v>
      </c>
    </row>
    <row r="34" spans="1:11" x14ac:dyDescent="0.35">
      <c r="A34" s="9" t="s">
        <v>30</v>
      </c>
      <c r="B34" s="9" t="s">
        <v>93</v>
      </c>
      <c r="C34" s="9" t="s">
        <v>30</v>
      </c>
      <c r="J34" s="9" t="s">
        <v>93</v>
      </c>
      <c r="K34" s="9" t="s">
        <v>93</v>
      </c>
    </row>
    <row r="35" spans="1:11" ht="39" x14ac:dyDescent="0.35">
      <c r="A35" s="9" t="s">
        <v>125</v>
      </c>
      <c r="B35" s="9" t="s">
        <v>126</v>
      </c>
      <c r="C35" s="9" t="s">
        <v>92</v>
      </c>
      <c r="H35" s="9" t="s">
        <v>93</v>
      </c>
      <c r="J35" s="9" t="s">
        <v>93</v>
      </c>
      <c r="K35" s="9" t="s">
        <v>251</v>
      </c>
    </row>
    <row r="36" spans="1:11" ht="52" x14ac:dyDescent="0.35">
      <c r="A36" s="9" t="s">
        <v>44</v>
      </c>
      <c r="B36" s="9" t="s">
        <v>45</v>
      </c>
      <c r="C36" s="9" t="s">
        <v>92</v>
      </c>
      <c r="G36" s="12" t="s">
        <v>99</v>
      </c>
      <c r="H36" s="9" t="s">
        <v>93</v>
      </c>
      <c r="J36" s="9" t="s">
        <v>93</v>
      </c>
      <c r="K36" s="9" t="s">
        <v>268</v>
      </c>
    </row>
    <row r="37" spans="1:11" ht="26" x14ac:dyDescent="0.35">
      <c r="A37" s="9" t="s">
        <v>131</v>
      </c>
      <c r="B37" s="9" t="s">
        <v>132</v>
      </c>
      <c r="C37" s="9" t="s">
        <v>92</v>
      </c>
      <c r="I37" s="9" t="s">
        <v>133</v>
      </c>
      <c r="J37" s="9" t="s">
        <v>93</v>
      </c>
      <c r="K37" s="9" t="s">
        <v>252</v>
      </c>
    </row>
    <row r="38" spans="1:11" ht="26" x14ac:dyDescent="0.35">
      <c r="A38" s="9" t="s">
        <v>134</v>
      </c>
      <c r="B38" s="9" t="s">
        <v>135</v>
      </c>
      <c r="C38" s="9" t="s">
        <v>92</v>
      </c>
      <c r="H38" s="9" t="s">
        <v>93</v>
      </c>
      <c r="J38" s="9" t="s">
        <v>136</v>
      </c>
      <c r="K38" s="9" t="s">
        <v>253</v>
      </c>
    </row>
    <row r="39" spans="1:11" ht="39" x14ac:dyDescent="0.35">
      <c r="A39" s="9" t="s">
        <v>86</v>
      </c>
      <c r="B39" s="9" t="s">
        <v>89</v>
      </c>
      <c r="C39" s="9" t="s">
        <v>92</v>
      </c>
      <c r="G39" s="12" t="s">
        <v>155</v>
      </c>
      <c r="H39" s="9" t="s">
        <v>93</v>
      </c>
      <c r="J39" s="9" t="s">
        <v>93</v>
      </c>
      <c r="K39" s="9" t="s">
        <v>254</v>
      </c>
    </row>
    <row r="40" spans="1:11" x14ac:dyDescent="0.35">
      <c r="A40" s="9" t="s">
        <v>31</v>
      </c>
      <c r="B40" s="9" t="s">
        <v>33</v>
      </c>
      <c r="C40" s="9" t="s">
        <v>92</v>
      </c>
      <c r="H40" s="9" t="s">
        <v>224</v>
      </c>
      <c r="I40" s="9" t="s">
        <v>225</v>
      </c>
      <c r="J40" s="9" t="s">
        <v>93</v>
      </c>
      <c r="K40" s="9" t="s">
        <v>255</v>
      </c>
    </row>
    <row r="41" spans="1:11" ht="26" x14ac:dyDescent="0.35">
      <c r="A41" s="9" t="s">
        <v>47</v>
      </c>
      <c r="B41" s="9" t="s">
        <v>265</v>
      </c>
      <c r="C41" s="9" t="s">
        <v>92</v>
      </c>
      <c r="H41" s="9" t="s">
        <v>93</v>
      </c>
      <c r="J41" s="9" t="s">
        <v>266</v>
      </c>
      <c r="K41" s="9" t="s">
        <v>266</v>
      </c>
    </row>
    <row r="42" spans="1:11" x14ac:dyDescent="0.35">
      <c r="A42" s="9" t="s">
        <v>168</v>
      </c>
      <c r="B42" s="9" t="s">
        <v>93</v>
      </c>
      <c r="C42" s="9" t="s">
        <v>92</v>
      </c>
      <c r="H42" s="9" t="s">
        <v>93</v>
      </c>
      <c r="J42" s="9" t="s">
        <v>169</v>
      </c>
      <c r="K42" s="9" t="s">
        <v>256</v>
      </c>
    </row>
    <row r="43" spans="1:11" x14ac:dyDescent="0.35">
      <c r="A43" s="9" t="s">
        <v>107</v>
      </c>
      <c r="B43" s="9" t="s">
        <v>108</v>
      </c>
      <c r="C43" s="9" t="s">
        <v>92</v>
      </c>
      <c r="I43" s="9" t="s">
        <v>109</v>
      </c>
      <c r="J43" s="9" t="s">
        <v>93</v>
      </c>
      <c r="K43" s="9" t="s">
        <v>257</v>
      </c>
    </row>
    <row r="44" spans="1:11" x14ac:dyDescent="0.35">
      <c r="A44" s="9" t="s">
        <v>172</v>
      </c>
      <c r="B44" s="9" t="s">
        <v>93</v>
      </c>
      <c r="C44" s="9" t="s">
        <v>92</v>
      </c>
      <c r="H44" s="9" t="s">
        <v>93</v>
      </c>
      <c r="J44" s="9" t="s">
        <v>173</v>
      </c>
      <c r="K44" s="9" t="s">
        <v>258</v>
      </c>
    </row>
    <row r="45" spans="1:11" x14ac:dyDescent="0.35">
      <c r="A45" s="9" t="s">
        <v>170</v>
      </c>
      <c r="B45" s="9" t="s">
        <v>93</v>
      </c>
      <c r="C45" s="9" t="s">
        <v>92</v>
      </c>
      <c r="G45" s="12" t="s">
        <v>171</v>
      </c>
      <c r="H45" s="9" t="s">
        <v>93</v>
      </c>
      <c r="J45" s="9" t="s">
        <v>93</v>
      </c>
      <c r="K45" s="9" t="s">
        <v>259</v>
      </c>
    </row>
    <row r="46" spans="1:11" ht="26" x14ac:dyDescent="0.35">
      <c r="A46" s="9" t="s">
        <v>161</v>
      </c>
      <c r="B46" s="9" t="s">
        <v>162</v>
      </c>
      <c r="C46" s="9" t="s">
        <v>127</v>
      </c>
      <c r="D46" s="9" t="s">
        <v>163</v>
      </c>
      <c r="F46" s="12" t="s">
        <v>164</v>
      </c>
      <c r="G46" s="12" t="s">
        <v>165</v>
      </c>
      <c r="H46" s="9" t="s">
        <v>93</v>
      </c>
      <c r="J46" s="9" t="s">
        <v>93</v>
      </c>
      <c r="K46" s="9" t="s">
        <v>260</v>
      </c>
    </row>
  </sheetData>
  <autoFilter ref="A2:K2"/>
  <sortState ref="A3:K45">
    <sortCondition ref="A3"/>
  </sortState>
  <mergeCells count="1">
    <mergeCell ref="B1:K1"/>
  </mergeCells>
  <dataValidations count="1">
    <dataValidation type="list" allowBlank="1" showInputMessage="1" showErrorMessage="1" sqref="C1:C1048576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4" tint="0.59999389629810485"/>
  </sheetPr>
  <dimension ref="A1:G3"/>
  <sheetViews>
    <sheetView zoomScale="70" zoomScaleNormal="70"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F4" sqref="F4"/>
    </sheetView>
  </sheetViews>
  <sheetFormatPr defaultColWidth="9.1796875" defaultRowHeight="13" x14ac:dyDescent="0.35"/>
  <cols>
    <col min="1" max="1" width="18.81640625" style="6" customWidth="1"/>
    <col min="2" max="2" width="30.81640625" style="7" customWidth="1"/>
    <col min="3" max="3" width="11.81640625" style="7" customWidth="1"/>
    <col min="4" max="6" width="37.81640625" style="7" customWidth="1"/>
    <col min="7" max="7" width="18.81640625" style="6" customWidth="1"/>
    <col min="8" max="16384" width="9.1796875" style="7"/>
  </cols>
  <sheetData>
    <row r="1" spans="1:7" ht="21" x14ac:dyDescent="0.35">
      <c r="B1" s="25" t="s">
        <v>16</v>
      </c>
      <c r="C1" s="23"/>
      <c r="D1" s="23"/>
      <c r="E1" s="23"/>
      <c r="F1" s="23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192</v>
      </c>
      <c r="G2" s="2" t="s">
        <v>205</v>
      </c>
    </row>
    <row r="3" spans="1:7" ht="65" x14ac:dyDescent="0.35">
      <c r="A3" s="6" t="s">
        <v>31</v>
      </c>
      <c r="B3" s="7" t="s">
        <v>31</v>
      </c>
      <c r="C3" s="7" t="s">
        <v>32</v>
      </c>
      <c r="D3" s="7" t="str">
        <f>FormattaTipo(A3)</f>
        <v>Type: string
Pattern: 4!c2!a2!c</v>
      </c>
      <c r="E3" s="7" t="s">
        <v>191</v>
      </c>
      <c r="F3" s="7" t="s">
        <v>219</v>
      </c>
      <c r="G3" s="20" t="s">
        <v>218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1796875" defaultRowHeight="13" x14ac:dyDescent="0.35"/>
  <cols>
    <col min="1" max="1" width="18.81640625" style="6" customWidth="1"/>
    <col min="2" max="2" width="30.81640625" style="7" customWidth="1"/>
    <col min="3" max="3" width="11.81640625" style="7" customWidth="1"/>
    <col min="4" max="6" width="37.81640625" style="7" customWidth="1"/>
    <col min="7" max="7" width="18.81640625" style="6" customWidth="1"/>
    <col min="8" max="16384" width="9.1796875" style="7"/>
  </cols>
  <sheetData>
    <row r="1" spans="1:7" ht="21" x14ac:dyDescent="0.35">
      <c r="B1" s="25" t="s">
        <v>17</v>
      </c>
      <c r="C1" s="23"/>
      <c r="D1" s="23"/>
      <c r="E1" s="23"/>
      <c r="F1" s="23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192</v>
      </c>
      <c r="G2" s="2" t="s">
        <v>205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4" tint="0.59999389629810485"/>
  </sheetPr>
  <dimension ref="A1:I7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I6" sqref="I6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8" width="37.81640625" style="7" customWidth="1"/>
    <col min="9" max="9" width="18.81640625" style="6" customWidth="1"/>
    <col min="10" max="16384" width="9.1796875" style="7"/>
  </cols>
  <sheetData>
    <row r="1" spans="1:9" ht="21" x14ac:dyDescent="0.35">
      <c r="C1" s="25" t="s">
        <v>18</v>
      </c>
      <c r="D1" s="23"/>
      <c r="E1" s="23"/>
      <c r="F1" s="23"/>
      <c r="G1" s="23"/>
      <c r="H1" s="23"/>
    </row>
    <row r="2" spans="1:9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192</v>
      </c>
      <c r="I2" s="2" t="s">
        <v>205</v>
      </c>
    </row>
    <row r="3" spans="1:9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174</v>
      </c>
    </row>
    <row r="4" spans="1:9" x14ac:dyDescent="0.35">
      <c r="A4" s="6" t="s">
        <v>30</v>
      </c>
      <c r="C4" s="7" t="s">
        <v>37</v>
      </c>
      <c r="D4" s="7" t="str">
        <f>CalcolaParents($A$3:C4)</f>
        <v/>
      </c>
      <c r="E4" s="7" t="s">
        <v>32</v>
      </c>
      <c r="F4" s="7" t="str">
        <f>FormattaTipo(A4)</f>
        <v>Type: object</v>
      </c>
    </row>
    <row r="5" spans="1:9" ht="52" x14ac:dyDescent="0.35">
      <c r="A5" s="18" t="s">
        <v>206</v>
      </c>
      <c r="B5" s="6" t="s">
        <v>37</v>
      </c>
      <c r="C5" s="7" t="s">
        <v>39</v>
      </c>
      <c r="D5" s="7" t="str">
        <f>CalcolaParents($A$3:C5)</f>
        <v>searchCriteria</v>
      </c>
      <c r="E5" s="19" t="s">
        <v>88</v>
      </c>
      <c r="F5" s="17" t="str">
        <f>FormattaTipo(A5)</f>
        <v>Type: string
Length: 11
Pattern: 4!c2!a2!c3!c</v>
      </c>
      <c r="G5" s="7" t="s">
        <v>195</v>
      </c>
      <c r="H5" s="7" t="s">
        <v>216</v>
      </c>
      <c r="I5" s="13" t="s">
        <v>213</v>
      </c>
    </row>
    <row r="6" spans="1:9" ht="26" x14ac:dyDescent="0.35">
      <c r="A6" s="6" t="s">
        <v>41</v>
      </c>
      <c r="B6" s="6" t="s">
        <v>37</v>
      </c>
      <c r="C6" s="7" t="s">
        <v>42</v>
      </c>
      <c r="D6" s="7" t="str">
        <f>CalcolaParents($A$3:C6)</f>
        <v>searchCriteria</v>
      </c>
      <c r="E6" s="13" t="s">
        <v>88</v>
      </c>
      <c r="F6" s="7" t="str">
        <f>FormattaTipo(A6)</f>
        <v>Type: string
Pattern: YYYY-MM-DD</v>
      </c>
      <c r="G6" s="7" t="s">
        <v>177</v>
      </c>
      <c r="H6" s="7" t="s">
        <v>193</v>
      </c>
      <c r="I6" s="13" t="s">
        <v>213</v>
      </c>
    </row>
    <row r="7" spans="1:9" ht="26" x14ac:dyDescent="0.35">
      <c r="A7" s="6" t="s">
        <v>44</v>
      </c>
      <c r="B7" s="6" t="s">
        <v>37</v>
      </c>
      <c r="C7" s="7" t="s">
        <v>175</v>
      </c>
      <c r="D7" s="7" t="str">
        <f>CalcolaParents($A$3:C7)</f>
        <v>searchCriteria</v>
      </c>
      <c r="E7" s="7" t="s">
        <v>32</v>
      </c>
      <c r="F7" s="7" t="str">
        <f>FormattaTipo(A7)</f>
        <v>Type: string
Max Length: 16</v>
      </c>
      <c r="G7" s="7" t="s">
        <v>194</v>
      </c>
      <c r="H7" s="7" t="s">
        <v>196</v>
      </c>
    </row>
  </sheetData>
  <mergeCells count="1">
    <mergeCell ref="C1:H1"/>
  </mergeCells>
  <conditionalFormatting sqref="D1:D1048576">
    <cfRule type="containsText" dxfId="8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9" tint="0.59999389629810485"/>
  </sheetPr>
  <dimension ref="A1:H25"/>
  <sheetViews>
    <sheetView zoomScale="70" zoomScaleNormal="70" workbookViewId="0">
      <pane xSplit="2" ySplit="2" topLeftCell="C15" activePane="bottomRight" state="frozenSplit"/>
      <selection pane="topRight" activeCell="F1" sqref="F1"/>
      <selection pane="bottomLeft" activeCell="A20" sqref="A20"/>
      <selection pane="bottomRight" activeCell="A21" sqref="A2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x14ac:dyDescent="0.35">
      <c r="C1" s="26" t="s">
        <v>19</v>
      </c>
      <c r="D1" s="27"/>
      <c r="E1" s="27"/>
      <c r="F1" s="27"/>
      <c r="G1" s="27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205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 t="shared" ref="F3:F24" si="0">FormattaTipo(A3)</f>
        <v>Type: string
Pattern: YYYY-MM-DDTHH:MM:SS[.M{1,6}]</v>
      </c>
      <c r="G3" s="7" t="s">
        <v>197</v>
      </c>
    </row>
    <row r="4" spans="1:8" x14ac:dyDescent="0.35">
      <c r="A4" s="6" t="s">
        <v>30</v>
      </c>
      <c r="C4" s="7" t="s">
        <v>46</v>
      </c>
      <c r="D4" s="7" t="str">
        <f>CalcolaParents($A$3:C4)</f>
        <v/>
      </c>
      <c r="E4" s="7" t="s">
        <v>32</v>
      </c>
      <c r="F4" s="7" t="str">
        <f t="shared" si="0"/>
        <v>Type: object</v>
      </c>
    </row>
    <row r="5" spans="1:8" ht="26" x14ac:dyDescent="0.35">
      <c r="A5" s="6" t="s">
        <v>47</v>
      </c>
      <c r="B5" s="6" t="s">
        <v>46</v>
      </c>
      <c r="C5" s="7" t="s">
        <v>48</v>
      </c>
      <c r="D5" s="7" t="str">
        <f>CalcolaParents($A$3:C5)</f>
        <v>lcrDetails</v>
      </c>
      <c r="E5" s="7" t="s">
        <v>32</v>
      </c>
      <c r="F5" s="7" t="str">
        <f t="shared" si="0"/>
        <v>Type: string
Allowed values: DCT</v>
      </c>
      <c r="G5" s="7" t="s">
        <v>49</v>
      </c>
    </row>
    <row r="6" spans="1:8" ht="26" x14ac:dyDescent="0.35">
      <c r="A6" s="6" t="s">
        <v>44</v>
      </c>
      <c r="B6" s="6" t="s">
        <v>46</v>
      </c>
      <c r="C6" s="7" t="s">
        <v>175</v>
      </c>
      <c r="D6" s="7" t="str">
        <f>CalcolaParents($A$3:C6)</f>
        <v>lcrDetails</v>
      </c>
      <c r="E6" s="7" t="s">
        <v>32</v>
      </c>
      <c r="F6" s="7" t="str">
        <f t="shared" si="0"/>
        <v>Type: string
Max Length: 16</v>
      </c>
      <c r="G6" s="7" t="s">
        <v>176</v>
      </c>
    </row>
    <row r="7" spans="1:8" ht="26" x14ac:dyDescent="0.35">
      <c r="A7" s="6" t="s">
        <v>41</v>
      </c>
      <c r="B7" s="6" t="s">
        <v>46</v>
      </c>
      <c r="C7" s="7" t="s">
        <v>50</v>
      </c>
      <c r="D7" s="7" t="str">
        <f>CalcolaParents($A$3:C7)</f>
        <v>lcrDetails</v>
      </c>
      <c r="E7" s="7" t="s">
        <v>32</v>
      </c>
      <c r="F7" s="7" t="str">
        <f t="shared" si="0"/>
        <v>Type: string
Pattern: YYYY-MM-DD</v>
      </c>
      <c r="G7" s="7" t="s">
        <v>177</v>
      </c>
    </row>
    <row r="8" spans="1:8" x14ac:dyDescent="0.35">
      <c r="A8" s="6" t="s">
        <v>51</v>
      </c>
      <c r="B8" s="6" t="s">
        <v>46</v>
      </c>
      <c r="C8" s="7" t="s">
        <v>52</v>
      </c>
      <c r="D8" s="7" t="str">
        <f>CalcolaParents($A$3:C8)</f>
        <v>lcrDetails</v>
      </c>
      <c r="E8" s="7" t="s">
        <v>32</v>
      </c>
      <c r="F8" s="7" t="str">
        <f t="shared" si="0"/>
        <v>Type: string</v>
      </c>
      <c r="G8" s="7" t="s">
        <v>178</v>
      </c>
    </row>
    <row r="9" spans="1:8" ht="26" x14ac:dyDescent="0.35">
      <c r="A9" s="6" t="s">
        <v>54</v>
      </c>
      <c r="B9" s="6" t="s">
        <v>46</v>
      </c>
      <c r="C9" s="7" t="s">
        <v>55</v>
      </c>
      <c r="D9" s="7" t="str">
        <f>CalcolaParents($A$3:C9)</f>
        <v>lcrDetails</v>
      </c>
      <c r="E9" s="7" t="s">
        <v>32</v>
      </c>
      <c r="F9" s="7" t="str">
        <f t="shared" si="0"/>
        <v>Type: string
Pattern: 16!c</v>
      </c>
      <c r="G9" s="7" t="s">
        <v>179</v>
      </c>
    </row>
    <row r="10" spans="1:8" ht="39" x14ac:dyDescent="0.35">
      <c r="A10" s="6" t="s">
        <v>56</v>
      </c>
      <c r="B10" s="6" t="s">
        <v>46</v>
      </c>
      <c r="C10" s="7" t="s">
        <v>217</v>
      </c>
      <c r="D10" s="7" t="str">
        <f>CalcolaParents($A$3:C10)</f>
        <v>lcrDetails</v>
      </c>
      <c r="E10" s="7" t="s">
        <v>32</v>
      </c>
      <c r="F10" s="7" t="str">
        <f t="shared" si="0"/>
        <v>Type: string
Allowed values: Pacs.003,Pacs.004,Pacs.007,Pacs.008</v>
      </c>
      <c r="G10" s="7" t="s">
        <v>180</v>
      </c>
    </row>
    <row r="11" spans="1:8" ht="65" x14ac:dyDescent="0.35">
      <c r="A11" s="6" t="s">
        <v>58</v>
      </c>
      <c r="B11" s="6" t="s">
        <v>46</v>
      </c>
      <c r="C11" s="7" t="s">
        <v>59</v>
      </c>
      <c r="D11" s="7" t="str">
        <f>CalcolaParents($A$3:C11)</f>
        <v>lcrDetails</v>
      </c>
      <c r="E11" s="7" t="s">
        <v>32</v>
      </c>
      <c r="F11" s="7" t="str">
        <f t="shared" si="0"/>
        <v>Type: string
Pattern: 4!c2!a2!c</v>
      </c>
      <c r="G11" s="7" t="s">
        <v>181</v>
      </c>
    </row>
    <row r="12" spans="1:8" ht="65" x14ac:dyDescent="0.35">
      <c r="A12" s="6" t="s">
        <v>58</v>
      </c>
      <c r="B12" s="6" t="s">
        <v>46</v>
      </c>
      <c r="C12" s="7" t="s">
        <v>61</v>
      </c>
      <c r="D12" s="7" t="str">
        <f>CalcolaParents($A$3:C12)</f>
        <v>lcrDetails</v>
      </c>
      <c r="E12" s="7" t="s">
        <v>32</v>
      </c>
      <c r="F12" s="7" t="str">
        <f>FormattaTipo(A12)</f>
        <v>Type: string
Pattern: 4!c2!a2!c</v>
      </c>
      <c r="G12" s="7" t="s">
        <v>182</v>
      </c>
    </row>
    <row r="13" spans="1:8" ht="39" x14ac:dyDescent="0.35">
      <c r="A13" s="18" t="s">
        <v>206</v>
      </c>
      <c r="B13" s="18" t="s">
        <v>46</v>
      </c>
      <c r="C13" s="17" t="s">
        <v>62</v>
      </c>
      <c r="D13" s="17" t="str">
        <f>CalcolaParents($A$3:C13)</f>
        <v>lcrDetails</v>
      </c>
      <c r="E13" s="17" t="s">
        <v>32</v>
      </c>
      <c r="F13" s="17" t="str">
        <f t="shared" si="0"/>
        <v>Type: string
Length: 11
Pattern: 4!c2!a2!c3!c</v>
      </c>
      <c r="G13" s="17" t="s">
        <v>183</v>
      </c>
      <c r="H13" s="18"/>
    </row>
    <row r="14" spans="1:8" ht="39" x14ac:dyDescent="0.35">
      <c r="A14" s="18" t="s">
        <v>206</v>
      </c>
      <c r="B14" s="18" t="s">
        <v>46</v>
      </c>
      <c r="C14" s="17" t="s">
        <v>63</v>
      </c>
      <c r="D14" s="17" t="str">
        <f>CalcolaParents($A$3:C14)</f>
        <v>lcrDetails</v>
      </c>
      <c r="E14" s="17" t="s">
        <v>32</v>
      </c>
      <c r="F14" s="17" t="str">
        <f t="shared" si="0"/>
        <v>Type: string
Length: 11
Pattern: 4!c2!a2!c3!c</v>
      </c>
      <c r="G14" s="17" t="s">
        <v>184</v>
      </c>
      <c r="H14" s="17"/>
    </row>
    <row r="15" spans="1:8" ht="52" x14ac:dyDescent="0.35">
      <c r="A15" s="18" t="s">
        <v>58</v>
      </c>
      <c r="B15" s="18" t="s">
        <v>46</v>
      </c>
      <c r="C15" s="17" t="s">
        <v>208</v>
      </c>
      <c r="D15" s="17" t="str">
        <f>CalcolaParents($A$3:C15)</f>
        <v>lcrDetails</v>
      </c>
      <c r="E15" s="17" t="s">
        <v>32</v>
      </c>
      <c r="F15" s="17" t="str">
        <f t="shared" si="0"/>
        <v>Type: string
Pattern: 4!c2!a2!c</v>
      </c>
      <c r="G15" s="17" t="s">
        <v>209</v>
      </c>
      <c r="H15" s="17" t="s">
        <v>212</v>
      </c>
    </row>
    <row r="16" spans="1:8" ht="52" x14ac:dyDescent="0.35">
      <c r="A16" s="18" t="s">
        <v>58</v>
      </c>
      <c r="B16" s="18" t="s">
        <v>46</v>
      </c>
      <c r="C16" s="17" t="s">
        <v>210</v>
      </c>
      <c r="D16" s="17" t="str">
        <f>CalcolaParents($A$3:C16)</f>
        <v>lcrDetails</v>
      </c>
      <c r="E16" s="17" t="s">
        <v>32</v>
      </c>
      <c r="F16" s="17" t="str">
        <f t="shared" si="0"/>
        <v>Type: string
Pattern: 4!c2!a2!c</v>
      </c>
      <c r="G16" s="17" t="s">
        <v>211</v>
      </c>
      <c r="H16" s="17" t="s">
        <v>212</v>
      </c>
    </row>
    <row r="17" spans="1:8" ht="39" x14ac:dyDescent="0.35">
      <c r="A17" s="18" t="s">
        <v>64</v>
      </c>
      <c r="B17" s="18" t="s">
        <v>46</v>
      </c>
      <c r="C17" s="17" t="s">
        <v>65</v>
      </c>
      <c r="D17" s="17" t="str">
        <f>CalcolaParents($A$3:C17)</f>
        <v>lcrDetails</v>
      </c>
      <c r="E17" s="17" t="s">
        <v>32</v>
      </c>
      <c r="F17" s="17" t="str">
        <f t="shared" si="0"/>
        <v>Type: string</v>
      </c>
      <c r="G17" s="17" t="s">
        <v>185</v>
      </c>
      <c r="H17" s="18"/>
    </row>
    <row r="18" spans="1:8" ht="39" x14ac:dyDescent="0.35">
      <c r="A18" s="18" t="s">
        <v>64</v>
      </c>
      <c r="B18" s="18" t="s">
        <v>46</v>
      </c>
      <c r="C18" s="17" t="s">
        <v>67</v>
      </c>
      <c r="D18" s="17" t="str">
        <f>CalcolaParents($A$3:C18)</f>
        <v>lcrDetails</v>
      </c>
      <c r="E18" s="17" t="s">
        <v>32</v>
      </c>
      <c r="F18" s="17" t="str">
        <f t="shared" si="0"/>
        <v>Type: string</v>
      </c>
      <c r="G18" s="17" t="s">
        <v>186</v>
      </c>
      <c r="H18" s="18"/>
    </row>
    <row r="19" spans="1:8" ht="26" x14ac:dyDescent="0.35">
      <c r="A19" s="18" t="s">
        <v>64</v>
      </c>
      <c r="B19" s="18" t="s">
        <v>46</v>
      </c>
      <c r="C19" s="17" t="s">
        <v>68</v>
      </c>
      <c r="D19" s="17" t="str">
        <f>CalcolaParents($A$3:C19)</f>
        <v>lcrDetails</v>
      </c>
      <c r="E19" s="17" t="s">
        <v>32</v>
      </c>
      <c r="F19" s="17" t="str">
        <f t="shared" si="0"/>
        <v>Type: string</v>
      </c>
      <c r="G19" s="17" t="s">
        <v>187</v>
      </c>
      <c r="H19" s="18"/>
    </row>
    <row r="20" spans="1:8" ht="39" x14ac:dyDescent="0.35">
      <c r="A20" s="18" t="s">
        <v>69</v>
      </c>
      <c r="B20" s="18" t="s">
        <v>46</v>
      </c>
      <c r="C20" s="17" t="s">
        <v>70</v>
      </c>
      <c r="D20" s="17" t="str">
        <f>CalcolaParents($A$3:C20)</f>
        <v>lcrDetails</v>
      </c>
      <c r="E20" s="17" t="s">
        <v>32</v>
      </c>
      <c r="F20" s="17" t="str">
        <f t="shared" si="0"/>
        <v>Type: number
Format: double
Max Value: 999999999999999.99</v>
      </c>
      <c r="G20" s="17" t="s">
        <v>188</v>
      </c>
      <c r="H20" s="18"/>
    </row>
    <row r="21" spans="1:8" ht="39" x14ac:dyDescent="0.35">
      <c r="A21" s="21" t="s">
        <v>72</v>
      </c>
      <c r="B21" s="18" t="s">
        <v>46</v>
      </c>
      <c r="C21" s="17" t="s">
        <v>73</v>
      </c>
      <c r="D21" s="17" t="str">
        <f>CalcolaParents($A$3:C21)</f>
        <v>lcrDetails</v>
      </c>
      <c r="E21" s="17" t="s">
        <v>32</v>
      </c>
      <c r="F21" s="17" t="str">
        <f t="shared" si="0"/>
        <v>Type: number
Max Value: 999999999999</v>
      </c>
      <c r="G21" s="22" t="s">
        <v>202</v>
      </c>
      <c r="H21" s="21"/>
    </row>
    <row r="22" spans="1:8" ht="26" x14ac:dyDescent="0.35">
      <c r="A22" s="18" t="s">
        <v>75</v>
      </c>
      <c r="B22" s="18" t="s">
        <v>46</v>
      </c>
      <c r="C22" s="17" t="s">
        <v>76</v>
      </c>
      <c r="D22" s="17" t="str">
        <f>CalcolaParents($A$3:C22)</f>
        <v>lcrDetails</v>
      </c>
      <c r="E22" s="17" t="s">
        <v>32</v>
      </c>
      <c r="F22" s="17" t="str">
        <f t="shared" si="0"/>
        <v>Type: string
Allowed values: STTLD,CANC,REVK,RJCT,QUEU</v>
      </c>
      <c r="G22" s="17" t="s">
        <v>77</v>
      </c>
      <c r="H22" s="18"/>
    </row>
    <row r="23" spans="1:8" ht="26" x14ac:dyDescent="0.35">
      <c r="A23" s="21" t="s">
        <v>34</v>
      </c>
      <c r="B23" s="18" t="s">
        <v>46</v>
      </c>
      <c r="C23" s="17" t="s">
        <v>78</v>
      </c>
      <c r="D23" s="17" t="str">
        <f>CalcolaParents($A$3:C23)</f>
        <v>lcrDetails</v>
      </c>
      <c r="E23" s="17" t="s">
        <v>32</v>
      </c>
      <c r="F23" s="17" t="str">
        <f t="shared" si="0"/>
        <v>Type: string
Pattern: YYYY-MM-DDTHH:MM:SS[.M{1,6}]</v>
      </c>
      <c r="G23" s="17" t="s">
        <v>189</v>
      </c>
      <c r="H23" s="21"/>
    </row>
    <row r="24" spans="1:8" ht="39" x14ac:dyDescent="0.35">
      <c r="A24" s="21" t="s">
        <v>34</v>
      </c>
      <c r="B24" s="18" t="s">
        <v>46</v>
      </c>
      <c r="C24" s="17" t="s">
        <v>79</v>
      </c>
      <c r="D24" s="17" t="str">
        <f>CalcolaParents($A$3:C24)</f>
        <v>lcrDetails</v>
      </c>
      <c r="E24" s="17" t="s">
        <v>32</v>
      </c>
      <c r="F24" s="17" t="str">
        <f t="shared" si="0"/>
        <v>Type: string
Pattern: YYYY-MM-DDTHH:MM:SS[.M{1,6}]</v>
      </c>
      <c r="G24" s="17" t="s">
        <v>190</v>
      </c>
      <c r="H24" s="21"/>
    </row>
    <row r="25" spans="1:8" ht="52" x14ac:dyDescent="0.35">
      <c r="A25" s="21" t="s">
        <v>168</v>
      </c>
      <c r="B25" s="18" t="s">
        <v>46</v>
      </c>
      <c r="C25" s="17" t="s">
        <v>204</v>
      </c>
      <c r="D25" s="17" t="str">
        <f>CalcolaParents($A$3:C25)</f>
        <v>lcrDetails</v>
      </c>
      <c r="E25" s="17" t="s">
        <v>32</v>
      </c>
      <c r="F25" s="17" t="str">
        <f t="shared" ref="F25" si="1">FormattaTipo(A25)</f>
        <v>Type: string
Allowed values: C,D</v>
      </c>
      <c r="G25" s="17" t="s">
        <v>214</v>
      </c>
      <c r="H25" s="17" t="s">
        <v>215</v>
      </c>
    </row>
  </sheetData>
  <autoFilter ref="A2:G24"/>
  <mergeCells count="1">
    <mergeCell ref="C1:G1"/>
  </mergeCells>
  <conditionalFormatting sqref="D1:D1048576">
    <cfRule type="containsText" dxfId="7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x14ac:dyDescent="0.35">
      <c r="C1" s="26" t="s">
        <v>26</v>
      </c>
      <c r="D1" s="27"/>
      <c r="E1" s="27"/>
      <c r="F1" s="27"/>
      <c r="G1" s="27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205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6" t="s">
        <v>25</v>
      </c>
      <c r="D1" s="27"/>
      <c r="E1" s="27"/>
      <c r="F1" s="27"/>
      <c r="G1" s="27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205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197</v>
      </c>
    </row>
    <row r="4" spans="1:8" x14ac:dyDescent="0.35">
      <c r="A4" s="6" t="s">
        <v>80</v>
      </c>
      <c r="C4" s="7" t="s">
        <v>81</v>
      </c>
      <c r="D4" s="7" t="str">
        <f>CalcolaParents($A$3:C4)</f>
        <v/>
      </c>
      <c r="E4" s="7" t="s">
        <v>32</v>
      </c>
      <c r="F4" s="7" t="str">
        <f>FormattaTipo(A4)</f>
        <v>Type: string</v>
      </c>
      <c r="G4" s="7" t="s">
        <v>198</v>
      </c>
    </row>
    <row r="5" spans="1:8" ht="26" x14ac:dyDescent="0.35">
      <c r="A5" s="6" t="s">
        <v>83</v>
      </c>
      <c r="C5" s="7" t="s">
        <v>84</v>
      </c>
      <c r="D5" s="7" t="str">
        <f>CalcolaParents($A$3:C5)</f>
        <v/>
      </c>
      <c r="E5" s="7" t="s">
        <v>32</v>
      </c>
      <c r="F5" s="7" t="str">
        <f>FormattaTipo(A5)</f>
        <v>Type: string
Max Length: 255</v>
      </c>
      <c r="G5" s="7" t="s">
        <v>199</v>
      </c>
    </row>
    <row r="6" spans="1:8" ht="26" x14ac:dyDescent="0.35">
      <c r="A6" s="6" t="s">
        <v>86</v>
      </c>
      <c r="C6" s="7" t="s">
        <v>87</v>
      </c>
      <c r="D6" s="7" t="str">
        <f>CalcolaParents($A$3:C6)</f>
        <v/>
      </c>
      <c r="E6" s="7" t="s">
        <v>88</v>
      </c>
      <c r="F6" s="7" t="str">
        <f>FormattaTipo(A6)</f>
        <v>Type: string
Max Length: 36</v>
      </c>
      <c r="G6" s="7" t="s">
        <v>200</v>
      </c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6" t="s">
        <v>24</v>
      </c>
      <c r="D1" s="27"/>
      <c r="E1" s="27"/>
      <c r="F1" s="27"/>
      <c r="G1" s="27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205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6" t="s">
        <v>23</v>
      </c>
      <c r="D1" s="27"/>
      <c r="E1" s="27"/>
      <c r="F1" s="27"/>
      <c r="G1" s="27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205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6" t="s">
        <v>22</v>
      </c>
      <c r="D1" s="27"/>
      <c r="E1" s="27"/>
      <c r="F1" s="27"/>
      <c r="G1" s="27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205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6" t="s">
        <v>21</v>
      </c>
      <c r="D1" s="27"/>
      <c r="E1" s="27"/>
      <c r="F1" s="27"/>
      <c r="G1" s="27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205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6" t="s">
        <v>20</v>
      </c>
      <c r="D1" s="27"/>
      <c r="E1" s="27"/>
      <c r="F1" s="27"/>
      <c r="G1" s="27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205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66390D3-3635-44A2-A6D6-0B4D94E68B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A2BE313-DA10-4574-A111-B112B281D437}">
  <ds:schemaRefs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www.w3.org/XML/1998/namespace"/>
    <ds:schemaRef ds:uri="http://schemas.openxmlformats.org/package/2006/metadata/core-properties"/>
    <ds:schemaRef ds:uri="c2729170-ca00-465d-a27c-f75d491ce117"/>
    <ds:schemaRef ds:uri="http://schemas.microsoft.com/office/infopath/2007/PartnerControls"/>
    <ds:schemaRef ds:uri="d5d17fec-860f-4c53-bc48-b8d2395d3119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3AC59958-484F-4BB6-A6FE-D60D77E0A80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 - SS</cp:lastModifiedBy>
  <dcterms:created xsi:type="dcterms:W3CDTF">2020-05-15T14:17:13Z</dcterms:created>
  <dcterms:modified xsi:type="dcterms:W3CDTF">2025-06-25T10:14:40Z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b6cfb5ae-0b0e-4df8-9fba-c6c0c731c9ef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2023-06-13T10:24:20Z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6d0123f0-3120-4beb-9a2f-1a4b4077f37c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6251400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