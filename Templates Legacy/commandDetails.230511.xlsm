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170" yWindow="117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4" hidden="1">'200'!$A$2:$G$57</definedName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2" l="1"/>
  <c r="F20" i="32"/>
  <c r="F43" i="32"/>
  <c r="F5" i="32"/>
  <c r="D3" i="31"/>
  <c r="F57" i="32"/>
  <c r="F41" i="32"/>
  <c r="F6" i="32"/>
  <c r="D3" i="17"/>
  <c r="F56" i="32"/>
  <c r="F23" i="32"/>
  <c r="F18" i="32"/>
  <c r="F38" i="32"/>
  <c r="F35" i="32"/>
  <c r="F29" i="32"/>
  <c r="F31" i="32"/>
  <c r="F3" i="34"/>
  <c r="F39" i="32"/>
  <c r="F32" i="32"/>
  <c r="F44" i="32"/>
  <c r="F46" i="32"/>
  <c r="F8" i="32"/>
  <c r="F51" i="32"/>
  <c r="D3" i="32"/>
  <c r="F3" i="32"/>
  <c r="F6" i="34"/>
  <c r="F22" i="32"/>
  <c r="F50" i="32"/>
  <c r="F55" i="32"/>
  <c r="F7" i="32"/>
  <c r="F47" i="32"/>
  <c r="F9" i="32"/>
  <c r="F30" i="32"/>
  <c r="F11" i="32"/>
  <c r="F12" i="32"/>
  <c r="F40" i="32"/>
  <c r="F49" i="32"/>
  <c r="F33" i="32"/>
  <c r="F24" i="32"/>
  <c r="F4" i="31"/>
  <c r="F52" i="32"/>
  <c r="F4" i="34"/>
  <c r="D3" i="34"/>
  <c r="D4" i="34" s="1"/>
  <c r="F26" i="32"/>
  <c r="D4" i="31"/>
  <c r="F14" i="32"/>
  <c r="F4" i="32"/>
  <c r="F25" i="32"/>
  <c r="F53" i="32"/>
  <c r="F5" i="34"/>
  <c r="F34" i="32"/>
  <c r="F16" i="32"/>
  <c r="F19" i="32"/>
  <c r="F3" i="31"/>
  <c r="F54" i="32"/>
  <c r="D4" i="32"/>
  <c r="F42" i="32"/>
  <c r="F17" i="32"/>
  <c r="F27" i="32"/>
  <c r="F10" i="32"/>
  <c r="D5" i="34"/>
  <c r="D6" i="34" s="1"/>
  <c r="F45" i="32"/>
  <c r="F48" i="32"/>
  <c r="F28" i="32"/>
  <c r="F21" i="32"/>
  <c r="F37" i="32"/>
  <c r="F13" i="32"/>
  <c r="F36" i="32"/>
  <c r="D5" i="32"/>
  <c r="D6" i="32"/>
  <c r="D7" i="32"/>
  <c r="D8" i="32"/>
  <c r="D9" i="32"/>
  <c r="D10" i="32"/>
  <c r="D12" i="32"/>
  <c r="D11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8" i="32"/>
  <c r="D41" i="32"/>
  <c r="D40" i="32"/>
  <c r="D42" i="32"/>
  <c r="D43" i="32"/>
  <c r="D44" i="32" s="1"/>
  <c r="D45" i="32" s="1"/>
  <c r="D46" i="32" s="1"/>
  <c r="D47" i="32" s="1"/>
  <c r="D49" i="32"/>
  <c r="D48" i="32"/>
  <c r="D51" i="32"/>
  <c r="D50" i="32"/>
  <c r="D52" i="32"/>
  <c r="D53" i="32"/>
  <c r="D54" i="32" s="1"/>
  <c r="D55" i="32" s="1"/>
  <c r="D56" i="32" s="1"/>
  <c r="D57" i="32" s="1"/>
</calcChain>
</file>

<file path=xl/sharedStrings.xml><?xml version="1.0" encoding="utf-8"?>
<sst xmlns="http://schemas.openxmlformats.org/spreadsheetml/2006/main" count="703" uniqueCount="299">
  <si>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</si>
  <si>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</si>
  <si>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</si>
  <si>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</si>
  <si>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</si>
  <si>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</si>
  <si>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</si>
  <si>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</si>
  <si>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</si>
  <si>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</si>
  <si>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</si>
  <si>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</si>
  <si>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</si>
  <si>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</si>
  <si>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</si>
  <si>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</si>
  <si>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</si>
  <si>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</si>
  <si>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</si>
  <si>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</si>
  <si>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</si>
  <si>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</si>
  <si>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</si>
  <si>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</si>
  <si>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</si>
  <si>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</si>
  <si>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</si>
  <si>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</si>
  <si>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</si>
  <si>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</si>
  <si>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</si>
  <si>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</si>
  <si>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</si>
  <si>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</si>
  <si>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</si>
  <si>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</si>
  <si>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</si>
  <si>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CommandReference</t>
  </si>
  <si>
    <t>commandRef</t>
  </si>
  <si>
    <t>Command reference</t>
  </si>
  <si>
    <t>CommandType</t>
  </si>
  <si>
    <t>commandType</t>
  </si>
  <si>
    <t>Command type</t>
  </si>
  <si>
    <t>CommandStatus</t>
  </si>
  <si>
    <t>commandStatus</t>
  </si>
  <si>
    <t>Command status.</t>
  </si>
  <si>
    <t>requestDateTime</t>
  </si>
  <si>
    <t>authRejectDateTime</t>
  </si>
  <si>
    <t>User</t>
  </si>
  <si>
    <t>userIssuer</t>
  </si>
  <si>
    <t>userAuthReject</t>
  </si>
  <si>
    <t>fundingDefundingDetails</t>
  </si>
  <si>
    <t>O</t>
  </si>
  <si>
    <t>BIC11</t>
  </si>
  <si>
    <t>settlementBIC</t>
  </si>
  <si>
    <t>The Generic BIC of participant</t>
  </si>
  <si>
    <t>Amount</t>
  </si>
  <si>
    <t>amount</t>
  </si>
  <si>
    <t>Standard Amount</t>
  </si>
  <si>
    <t>revokeLcrDetails</t>
  </si>
  <si>
    <t>BIC8</t>
  </si>
  <si>
    <t>instgAgt</t>
  </si>
  <si>
    <t>The BIC of direct participant</t>
  </si>
  <si>
    <t>instdAgt</t>
  </si>
  <si>
    <t>OperationReference</t>
  </si>
  <si>
    <t>The unique reference that identifies the operation leading to the Settlement BIC position</t>
  </si>
  <si>
    <t>LcrStatus</t>
  </si>
  <si>
    <t>lcrStatus</t>
  </si>
  <si>
    <t>The LCR status</t>
  </si>
  <si>
    <t>instgSttlmBIC</t>
  </si>
  <si>
    <t>instdSttlmBIC</t>
  </si>
  <si>
    <t>Service</t>
  </si>
  <si>
    <t>s2Service</t>
  </si>
  <si>
    <t>Date</t>
  </si>
  <si>
    <t>businessDate</t>
  </si>
  <si>
    <t>Standard ISO Date.</t>
  </si>
  <si>
    <t>revokeAllLcrDetails</t>
  </si>
  <si>
    <t>retransmitOutFileDetails</t>
  </si>
  <si>
    <t>preferredAgentBIC</t>
  </si>
  <si>
    <t>FileType</t>
  </si>
  <si>
    <t>fileType</t>
  </si>
  <si>
    <t>The type of File</t>
  </si>
  <si>
    <t>FileReference</t>
  </si>
  <si>
    <t>fileReference</t>
  </si>
  <si>
    <t>FileStatus</t>
  </si>
  <si>
    <t>fileStatus</t>
  </si>
  <si>
    <t>Status of the file</t>
  </si>
  <si>
    <t>LacNumber</t>
  </si>
  <si>
    <t>lac</t>
  </si>
  <si>
    <t>The LAC in which the relevant LCR was generated</t>
  </si>
  <si>
    <t>resendAllDetails</t>
  </si>
  <si>
    <t>timestampLastUpdate</t>
  </si>
  <si>
    <t>agendaDetails</t>
  </si>
  <si>
    <t>dailyThresholds</t>
  </si>
  <si>
    <t>Day</t>
  </si>
  <si>
    <t>day</t>
  </si>
  <si>
    <t>lacAgenda</t>
  </si>
  <si>
    <t>lacNumber</t>
  </si>
  <si>
    <t>Number</t>
  </si>
  <si>
    <t>lowerPosition</t>
  </si>
  <si>
    <t>Standard Number</t>
  </si>
  <si>
    <t>basePosition</t>
  </si>
  <si>
    <t>upperPosition</t>
  </si>
  <si>
    <t>Boolean</t>
  </si>
  <si>
    <t>resetToBasePos</t>
  </si>
  <si>
    <t>True or False indicator</t>
  </si>
  <si>
    <t>calendarDetails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</si>
  <si>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</si>
  <si>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</si>
  <si>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</si>
  <si>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</si>
  <si>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</si>
  <si>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</si>
  <si>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</si>
  <si>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</si>
  <si>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</si>
  <si>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</si>
  <si>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</si>
  <si>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</si>
  <si>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</si>
  <si>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</si>
  <si>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</si>
  <si>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</si>
  <si>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</si>
  <si>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</si>
  <si>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</si>
  <si>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</si>
  <si>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</si>
  <si>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</si>
  <si>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</si>
  <si>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</si>
  <si>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</si>
  <si>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</si>
  <si>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</si>
  <si>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</si>
  <si>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</si>
  <si>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16!c</t>
  </si>
  <si>
    <t>[0-9A-Z]{16,16}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</si>
  <si>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</si>
  <si>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</si>
  <si>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</si>
  <si>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</si>
  <si>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</si>
  <si>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</si>
  <si>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</si>
  <si>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</si>
  <si>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</si>
  <si>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</si>
  <si>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</si>
  <si>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</si>
  <si>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</si>
  <si>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</si>
  <si>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</si>
  <si>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</si>
  <si>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</si>
  <si>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</si>
  <si>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</si>
  <si>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</si>
  <si>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</si>
  <si>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</si>
  <si>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</si>
  <si>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</si>
  <si>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</si>
  <si>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</si>
  <si>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22</t>
  </si>
  <si>
    <t>L01,L02,L03,L04,F02,F03,F01,F04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</si>
  <si>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</si>
  <si>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</si>
  <si>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</si>
  <si>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</si>
  <si>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</si>
  <si>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</si>
  <si>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</si>
  <si>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</si>
  <si>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[0-9]{1,2}</t>
  </si>
  <si>
    <t>STTLD,CANC,REVK,RJCT,QUEU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</si>
  <si>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</si>
  <si>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</si>
  <si>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</si>
  <si>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</si>
  <si>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</si>
  <si>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</si>
  <si>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</si>
  <si>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</si>
  <si>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</si>
  <si>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</si>
  <si>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</si>
  <si>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8</t>
  </si>
  <si>
    <t>TransferType</t>
  </si>
  <si>
    <t>F,D</t>
  </si>
  <si>
    <t>Validation Rules</t>
  </si>
  <si>
    <t>The BIC of the DP sending  the API Request</t>
  </si>
  <si>
    <t>The date and time of the API Request</t>
  </si>
  <si>
    <t>The command reference</t>
  </si>
  <si>
    <t>The date and time of the creation of the API response</t>
  </si>
  <si>
    <t>The command type</t>
  </si>
  <si>
    <t>The command status</t>
  </si>
  <si>
    <t>The date and time at which the command was issued</t>
  </si>
  <si>
    <t>The date and time at which the command was rejected or authorized</t>
  </si>
  <si>
    <t>The user who issued the command</t>
  </si>
  <si>
    <t>The user who authorized/rejected the command</t>
  </si>
  <si>
    <t>If commandType is L03 or L04, then this block must be present</t>
  </si>
  <si>
    <t>The STEP2 Settlement BIC owning a liquidity position in CGS</t>
  </si>
  <si>
    <t>If commandType is F02, then this block must be present</t>
  </si>
  <si>
    <t>The relevant Step2 Service</t>
  </si>
  <si>
    <t>The relevant Business Date.</t>
  </si>
  <si>
    <t>If commandType is F03, then this block must be present</t>
  </si>
  <si>
    <t>If commandType is F01, then this block must be present</t>
  </si>
  <si>
    <t>The BIC of the relevant Step2 Preferred Agent BIC</t>
  </si>
  <si>
    <t>If commandType is F04, then this block must be present</t>
  </si>
  <si>
    <t>The date and time of the last command’s update.</t>
  </si>
  <si>
    <t>The status of the files</t>
  </si>
  <si>
    <t>If commandType is L01, then this block must be present</t>
  </si>
  <si>
    <t>If commandType is L02, then this block must be present</t>
  </si>
  <si>
    <t xml:space="preserve"> The STEP2 DP Instructing Agent</t>
  </si>
  <si>
    <t xml:space="preserve"> The STEP2 DP Instructed Agent</t>
  </si>
  <si>
    <t>lcrReference</t>
  </si>
  <si>
    <t>The reference of the relevant LCR</t>
  </si>
  <si>
    <t>The status of LCR</t>
  </si>
  <si>
    <t>The Settlement BIC configured for the Instructing Agent</t>
  </si>
  <si>
    <t>The Settlement BIC configured for the Instructed Agent</t>
  </si>
  <si>
    <t>The relevant Business Date</t>
  </si>
  <si>
    <t>The file type</t>
  </si>
  <si>
    <t>The day of the week. The value must be between 1 and 5:
1 – Monday, 
2- Tuesday, 
3 – Wednesday, 
4 – Thursday, 
5 – Friday.</t>
  </si>
  <si>
    <t>The number of the relevant LAC</t>
  </si>
  <si>
    <t>Reset to base position option.
Allowed values:
- true
- false</t>
  </si>
  <si>
    <t xml:space="preserve">The relevant LAC 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</si>
  <si>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</si>
  <si>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</si>
  <si>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</si>
  <si>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</si>
  <si>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999999999999999.99</t>
  </si>
  <si>
    <t>The requested amount[maximum allowed length 15d]</t>
  </si>
  <si>
    <t>LAC-n lower position</t>
  </si>
  <si>
    <t>LAC-n base position</t>
  </si>
  <si>
    <t>LAC-n upper position</t>
  </si>
  <si>
    <t>Track Changes</t>
  </si>
  <si>
    <t>Bic11Only</t>
  </si>
  <si>
    <t>11</t>
  </si>
  <si>
    <t>[20211223] - (SS)
CR3996 modified field</t>
  </si>
  <si>
    <t>[20211223] - (SS)
CR3996 added field</t>
  </si>
  <si>
    <t>It must be equal to the BIC of the DP certificate (errorCode XA02) 
Sending DP must not have status “Disabled” or “Changed” (errorCode PY01)</t>
  </si>
  <si>
    <t>[220630] - (SS) Added NTD rule- CR3985
[230301] - (SS) Deleted NTD rule- Errata list item 004</t>
  </si>
  <si>
    <t>[230511] - (SS) New file type DLR - CR4015</t>
  </si>
  <si>
    <r>
      <t>The reference of the relevant LMR/LNR</t>
    </r>
    <r>
      <rPr>
        <sz val="10"/>
        <color rgb="FFFF0000"/>
        <rFont val="Calibri"/>
        <family val="2"/>
        <scheme val="minor"/>
      </rPr>
      <t>/DLR.</t>
    </r>
  </si>
  <si>
    <t>[230511] - (SS) Description amended - CR4015</t>
  </si>
  <si>
    <r>
      <t>The status of LMR/LNR</t>
    </r>
    <r>
      <rPr>
        <sz val="10"/>
        <color rgb="FFFF0000"/>
        <rFont val="Calibri"/>
        <family val="2"/>
        <scheme val="minor"/>
      </rPr>
      <t>/DLR</t>
    </r>
  </si>
  <si>
    <r>
      <t>The LAC running on CGS when the LMR/LNR</t>
    </r>
    <r>
      <rPr>
        <sz val="10"/>
        <color rgb="FFFF0000"/>
        <rFont val="Calibri"/>
        <family val="2"/>
        <scheme val="minor"/>
      </rPr>
      <t>/DLR</t>
    </r>
    <r>
      <rPr>
        <sz val="10"/>
        <rFont val="Calibri"/>
        <family val="2"/>
        <scheme val="minor"/>
      </rPr>
      <t xml:space="preserve"> was created</t>
    </r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</si>
  <si>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</si>
  <si>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</si>
  <si>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</si>
  <si>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</si>
  <si>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</si>
  <si>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</si>
  <si>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</si>
  <si>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</si>
  <si>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</si>
  <si>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</si>
  <si>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</si>
  <si>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</si>
  <si>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</si>
  <si>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2019-06-21T23:20:50.000001; 2024-11-08T14:29:00.012345; 9999-12-31T12:55:45.000001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</si>
  <si>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</si>
  <si>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</si>
  <si>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</si>
  <si>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</si>
  <si>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</si>
  <si>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</si>
  <si>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</si>
  <si>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</si>
  <si>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</si>
  <si>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</si>
  <si>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</si>
  <si>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</si>
  <si>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</si>
  <si>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</si>
  <si>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</si>
  <si>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</si>
  <si>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</si>
  <si>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</si>
  <si>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</si>
  <si>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</si>
  <si>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</si>
  <si>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</si>
  <si>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</si>
  <si>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</si>
  <si>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LNR,LMR,DLR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</si>
  <si>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</si>
  <si>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</si>
  <si>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</si>
  <si>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</si>
  <si>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</si>
  <si>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</si>
  <si>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t>F01; F02; F03</t>
  </si>
  <si>
    <t>TO BE AUTHORIZED; EXECUTED; REJECTED</t>
  </si>
  <si>
    <t>LNR; LMR; DLR</t>
  </si>
  <si>
    <t>1; 3; 5</t>
  </si>
  <si>
    <t>AX01; R01; XT92</t>
  </si>
  <si>
    <t>REF0123456789111; REF0123456789000; REF0123456789123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</si>
</sst>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4" fillId="0" borderId="0" xfId="0" applyNumberFormat="1" applyFont="1" applyFill="1" applyAlignment="1">
      <alignment vertical="top" wrapText="1"/>
    </xf>
    <xf numFmtId="0" fontId="4" fillId="0" borderId="0" xfId="0" applyFont="1" applyFill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0" fontId="8" fillId="0" borderId="0" xfId="0" applyFont="1" applyFill="1" applyAlignment="1">
      <alignment vertical="top" wrapText="1"/>
    </xf>
    <xf numFmtId="49" fontId="8" fillId="0" borderId="0" xfId="0" applyNumberFormat="1" applyFont="1" applyAlignment="1">
      <alignment vertical="top" wrapText="1"/>
    </xf>
    <xf numFmtId="0" fontId="9" fillId="0" borderId="0" xfId="0" applyFont="1"/>
    <xf numFmtId="49" fontId="8" fillId="0" borderId="0" xfId="0" applyNumberFormat="1" applyFont="1" applyAlignment="1">
      <alignment horizontal="right" vertical="top" wrapText="1"/>
    </xf>
    <xf numFmtId="49" fontId="7" fillId="0" borderId="0" xfId="0" applyNumberFormat="1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H32" activePane="bottomRight" state="frozenSplit"/>
      <selection pane="topRight" activeCell="H1" sqref="H1"/>
      <selection pane="bottomLeft" activeCell="A20" sqref="A20"/>
      <selection pane="bottomRight" activeCell="K37" sqref="K37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236</v>
      </c>
    </row>
    <row r="3" spans="1:12" x14ac:dyDescent="0.35">
      <c r="A3" s="9" t="s">
        <v>56</v>
      </c>
      <c r="B3" s="9" t="s">
        <v>58</v>
      </c>
      <c r="C3" s="9" t="s">
        <v>148</v>
      </c>
      <c r="D3" s="9" t="s">
        <v>149</v>
      </c>
      <c r="G3" s="12" t="s">
        <v>231</v>
      </c>
      <c r="H3" s="9" t="s">
        <v>119</v>
      </c>
      <c r="J3" s="9" t="s">
        <v>119</v>
      </c>
      <c r="K3" s="9" t="s">
        <v>254</v>
      </c>
    </row>
    <row r="4" spans="1:12" x14ac:dyDescent="0.35">
      <c r="A4" s="9" t="s">
        <v>29</v>
      </c>
      <c r="B4" s="9" t="s">
        <v>119</v>
      </c>
      <c r="C4" s="9" t="s">
        <v>29</v>
      </c>
      <c r="E4" s="9" t="s">
        <v>30</v>
      </c>
      <c r="J4" s="9" t="s">
        <v>119</v>
      </c>
      <c r="K4" s="9" t="s">
        <v>119</v>
      </c>
    </row>
    <row r="5" spans="1:12" ht="26" x14ac:dyDescent="0.35">
      <c r="A5" s="9" t="s">
        <v>53</v>
      </c>
      <c r="B5" s="9" t="s">
        <v>55</v>
      </c>
      <c r="C5" s="9" t="s">
        <v>118</v>
      </c>
      <c r="H5" s="9" t="s">
        <v>248</v>
      </c>
      <c r="I5" s="9" t="s">
        <v>249</v>
      </c>
      <c r="J5" s="9" t="s">
        <v>119</v>
      </c>
      <c r="K5" s="9" t="s">
        <v>255</v>
      </c>
    </row>
    <row r="6" spans="1:12" s="18" customFormat="1" ht="26" x14ac:dyDescent="0.35">
      <c r="A6" s="18" t="s">
        <v>237</v>
      </c>
      <c r="B6" s="19"/>
      <c r="C6" s="18" t="s">
        <v>118</v>
      </c>
      <c r="D6" s="19"/>
      <c r="E6" s="19"/>
      <c r="F6" s="20" t="s">
        <v>238</v>
      </c>
      <c r="G6" s="20" t="s">
        <v>238</v>
      </c>
      <c r="H6" s="18" t="s">
        <v>250</v>
      </c>
      <c r="I6" s="18" t="s">
        <v>251</v>
      </c>
      <c r="J6" s="19"/>
      <c r="K6" s="18" t="s">
        <v>256</v>
      </c>
      <c r="L6" s="16" t="s">
        <v>240</v>
      </c>
    </row>
    <row r="7" spans="1:12" x14ac:dyDescent="0.35">
      <c r="A7" s="9" t="s">
        <v>60</v>
      </c>
      <c r="B7" s="9" t="s">
        <v>62</v>
      </c>
      <c r="C7" s="9" t="s">
        <v>118</v>
      </c>
      <c r="H7" s="9" t="s">
        <v>252</v>
      </c>
      <c r="I7" s="9" t="s">
        <v>253</v>
      </c>
      <c r="J7" s="9" t="s">
        <v>119</v>
      </c>
      <c r="K7" s="9" t="s">
        <v>257</v>
      </c>
    </row>
    <row r="8" spans="1:12" x14ac:dyDescent="0.35">
      <c r="A8" s="9" t="s">
        <v>103</v>
      </c>
      <c r="B8" s="9" t="s">
        <v>105</v>
      </c>
      <c r="C8" s="9" t="s">
        <v>163</v>
      </c>
      <c r="H8" s="9" t="s">
        <v>119</v>
      </c>
      <c r="J8" s="9" t="s">
        <v>119</v>
      </c>
      <c r="K8" s="9" t="s">
        <v>258</v>
      </c>
    </row>
    <row r="9" spans="1:12" ht="39" x14ac:dyDescent="0.35">
      <c r="A9" s="9" t="s">
        <v>154</v>
      </c>
      <c r="B9" s="9" t="s">
        <v>155</v>
      </c>
      <c r="C9" s="9" t="s">
        <v>118</v>
      </c>
      <c r="I9" s="9" t="s">
        <v>156</v>
      </c>
      <c r="J9" s="9" t="s">
        <v>119</v>
      </c>
      <c r="K9" s="9" t="s">
        <v>259</v>
      </c>
    </row>
    <row r="10" spans="1:12" ht="26" x14ac:dyDescent="0.35">
      <c r="A10" s="9" t="s">
        <v>37</v>
      </c>
      <c r="B10" s="9" t="s">
        <v>39</v>
      </c>
      <c r="C10" s="9" t="s">
        <v>118</v>
      </c>
      <c r="G10" s="12" t="s">
        <v>164</v>
      </c>
      <c r="H10" s="9" t="s">
        <v>119</v>
      </c>
      <c r="J10" s="9" t="s">
        <v>119</v>
      </c>
      <c r="K10" s="9" t="s">
        <v>260</v>
      </c>
    </row>
    <row r="11" spans="1:12" ht="39" x14ac:dyDescent="0.35">
      <c r="A11" s="9" t="s">
        <v>43</v>
      </c>
      <c r="B11" s="9" t="s">
        <v>45</v>
      </c>
      <c r="C11" s="9" t="s">
        <v>118</v>
      </c>
      <c r="H11" s="9" t="s">
        <v>119</v>
      </c>
      <c r="J11" s="9" t="s">
        <v>166</v>
      </c>
      <c r="K11" s="9" t="s">
        <v>294</v>
      </c>
    </row>
    <row r="12" spans="1:12" ht="26" x14ac:dyDescent="0.35">
      <c r="A12" s="9" t="s">
        <v>40</v>
      </c>
      <c r="B12" s="9" t="s">
        <v>42</v>
      </c>
      <c r="C12" s="9" t="s">
        <v>118</v>
      </c>
      <c r="H12" s="9" t="s">
        <v>119</v>
      </c>
      <c r="J12" s="9" t="s">
        <v>165</v>
      </c>
      <c r="K12" s="9" t="s">
        <v>293</v>
      </c>
    </row>
    <row r="13" spans="1:12" x14ac:dyDescent="0.35">
      <c r="A13" s="9" t="s">
        <v>73</v>
      </c>
      <c r="B13" s="9" t="s">
        <v>75</v>
      </c>
      <c r="C13" s="9" t="s">
        <v>118</v>
      </c>
      <c r="H13" s="9" t="s">
        <v>129</v>
      </c>
      <c r="I13" s="9" t="s">
        <v>130</v>
      </c>
      <c r="J13" s="9" t="s">
        <v>119</v>
      </c>
      <c r="K13" s="9" t="s">
        <v>292</v>
      </c>
    </row>
    <row r="14" spans="1:12" ht="39" x14ac:dyDescent="0.35">
      <c r="A14" s="9" t="s">
        <v>34</v>
      </c>
      <c r="B14" s="9" t="s">
        <v>36</v>
      </c>
      <c r="C14" s="9" t="s">
        <v>118</v>
      </c>
      <c r="H14" s="9" t="s">
        <v>131</v>
      </c>
      <c r="I14" s="9" t="s">
        <v>132</v>
      </c>
      <c r="J14" s="9" t="s">
        <v>119</v>
      </c>
      <c r="K14" s="9" t="s">
        <v>261</v>
      </c>
    </row>
    <row r="15" spans="1:12" x14ac:dyDescent="0.35">
      <c r="A15" s="9" t="s">
        <v>94</v>
      </c>
      <c r="B15" s="9" t="s">
        <v>119</v>
      </c>
      <c r="C15" s="9" t="s">
        <v>148</v>
      </c>
      <c r="F15" s="12" t="s">
        <v>176</v>
      </c>
      <c r="G15" s="12" t="s">
        <v>177</v>
      </c>
      <c r="H15" s="9" t="s">
        <v>119</v>
      </c>
      <c r="J15" s="9" t="s">
        <v>119</v>
      </c>
      <c r="K15" s="9" t="s">
        <v>296</v>
      </c>
    </row>
    <row r="16" spans="1:12" x14ac:dyDescent="0.35">
      <c r="A16" s="9" t="s">
        <v>107</v>
      </c>
      <c r="B16" s="9" t="s">
        <v>109</v>
      </c>
      <c r="C16" s="9" t="s">
        <v>118</v>
      </c>
      <c r="I16" s="9" t="s">
        <v>144</v>
      </c>
      <c r="J16" s="9" t="s">
        <v>119</v>
      </c>
      <c r="K16" s="9" t="s">
        <v>297</v>
      </c>
    </row>
    <row r="17" spans="1:12" ht="26" x14ac:dyDescent="0.35">
      <c r="A17" s="9" t="s">
        <v>110</v>
      </c>
      <c r="B17" s="9" t="s">
        <v>112</v>
      </c>
      <c r="C17" s="9" t="s">
        <v>118</v>
      </c>
      <c r="G17" s="12" t="s">
        <v>145</v>
      </c>
      <c r="H17" s="9" t="s">
        <v>119</v>
      </c>
      <c r="J17" s="9" t="s">
        <v>119</v>
      </c>
      <c r="K17" s="9" t="s">
        <v>262</v>
      </c>
    </row>
    <row r="18" spans="1:12" ht="39" x14ac:dyDescent="0.35">
      <c r="A18" s="9" t="s">
        <v>170</v>
      </c>
      <c r="B18" s="9" t="s">
        <v>171</v>
      </c>
      <c r="C18" s="9" t="s">
        <v>118</v>
      </c>
      <c r="G18" s="12" t="s">
        <v>172</v>
      </c>
      <c r="H18" s="9" t="s">
        <v>119</v>
      </c>
      <c r="J18" s="9" t="s">
        <v>119</v>
      </c>
      <c r="K18" s="9" t="s">
        <v>263</v>
      </c>
    </row>
    <row r="19" spans="1:12" ht="26" x14ac:dyDescent="0.35">
      <c r="A19" s="9" t="s">
        <v>167</v>
      </c>
      <c r="B19" s="9" t="s">
        <v>168</v>
      </c>
      <c r="C19" s="9" t="s">
        <v>118</v>
      </c>
      <c r="H19" s="9" t="s">
        <v>119</v>
      </c>
      <c r="J19" s="9" t="s">
        <v>169</v>
      </c>
      <c r="K19" s="9" t="s">
        <v>264</v>
      </c>
    </row>
    <row r="20" spans="1:12" ht="65" x14ac:dyDescent="0.35">
      <c r="A20" s="9" t="s">
        <v>82</v>
      </c>
      <c r="B20" s="9" t="s">
        <v>285</v>
      </c>
      <c r="C20" s="9" t="s">
        <v>118</v>
      </c>
      <c r="H20" s="9" t="s">
        <v>136</v>
      </c>
      <c r="I20" s="9" t="s">
        <v>137</v>
      </c>
      <c r="J20" s="9" t="s">
        <v>119</v>
      </c>
      <c r="K20" s="9" t="s">
        <v>265</v>
      </c>
    </row>
    <row r="21" spans="1:12" x14ac:dyDescent="0.35">
      <c r="A21" s="9" t="s">
        <v>84</v>
      </c>
      <c r="B21" s="9" t="s">
        <v>86</v>
      </c>
      <c r="C21" s="9" t="s">
        <v>118</v>
      </c>
      <c r="H21" s="9" t="s">
        <v>119</v>
      </c>
      <c r="J21" s="9" t="s">
        <v>138</v>
      </c>
      <c r="K21" s="9" t="s">
        <v>266</v>
      </c>
    </row>
    <row r="22" spans="1:12" ht="26" x14ac:dyDescent="0.35">
      <c r="A22" s="9" t="s">
        <v>79</v>
      </c>
      <c r="B22" s="9" t="s">
        <v>81</v>
      </c>
      <c r="C22" s="9" t="s">
        <v>118</v>
      </c>
      <c r="H22" s="9" t="s">
        <v>119</v>
      </c>
      <c r="J22" s="9" t="s">
        <v>286</v>
      </c>
      <c r="K22" s="9" t="s">
        <v>295</v>
      </c>
      <c r="L22" s="21" t="s">
        <v>243</v>
      </c>
    </row>
    <row r="23" spans="1:12" ht="39" x14ac:dyDescent="0.35">
      <c r="A23" s="9" t="s">
        <v>123</v>
      </c>
      <c r="B23" s="9" t="s">
        <v>124</v>
      </c>
      <c r="C23" s="9" t="s">
        <v>118</v>
      </c>
      <c r="G23" s="12" t="s">
        <v>125</v>
      </c>
      <c r="H23" s="9" t="s">
        <v>119</v>
      </c>
      <c r="J23" s="9" t="s">
        <v>119</v>
      </c>
      <c r="K23" s="9" t="s">
        <v>267</v>
      </c>
    </row>
    <row r="24" spans="1:12" x14ac:dyDescent="0.35">
      <c r="A24" s="9" t="s">
        <v>126</v>
      </c>
      <c r="B24" s="9" t="s">
        <v>127</v>
      </c>
      <c r="C24" s="9" t="s">
        <v>118</v>
      </c>
      <c r="H24" s="9" t="s">
        <v>119</v>
      </c>
      <c r="J24" s="9" t="s">
        <v>128</v>
      </c>
      <c r="K24" s="9" t="s">
        <v>268</v>
      </c>
    </row>
    <row r="25" spans="1:12" x14ac:dyDescent="0.35">
      <c r="A25" s="9" t="s">
        <v>116</v>
      </c>
      <c r="B25" s="9" t="s">
        <v>117</v>
      </c>
      <c r="C25" s="9" t="s">
        <v>118</v>
      </c>
      <c r="H25" s="9" t="s">
        <v>119</v>
      </c>
      <c r="J25" s="9" t="s">
        <v>120</v>
      </c>
      <c r="K25" s="9" t="s">
        <v>269</v>
      </c>
    </row>
    <row r="26" spans="1:12" ht="26" x14ac:dyDescent="0.35">
      <c r="A26" s="9" t="s">
        <v>121</v>
      </c>
      <c r="B26" s="9" t="s">
        <v>117</v>
      </c>
      <c r="C26" s="9" t="s">
        <v>118</v>
      </c>
      <c r="H26" s="9" t="s">
        <v>119</v>
      </c>
      <c r="J26" s="9" t="s">
        <v>122</v>
      </c>
      <c r="K26" s="9" t="s">
        <v>270</v>
      </c>
    </row>
    <row r="27" spans="1:12" x14ac:dyDescent="0.35">
      <c r="A27" s="9" t="s">
        <v>96</v>
      </c>
      <c r="B27" s="9" t="s">
        <v>119</v>
      </c>
      <c r="C27" s="9" t="s">
        <v>29</v>
      </c>
      <c r="E27" s="9" t="s">
        <v>30</v>
      </c>
      <c r="H27" s="9" t="s">
        <v>119</v>
      </c>
      <c r="J27" s="9" t="s">
        <v>119</v>
      </c>
      <c r="K27" s="9" t="s">
        <v>119</v>
      </c>
    </row>
    <row r="28" spans="1:12" ht="26" x14ac:dyDescent="0.35">
      <c r="A28" s="9" t="s">
        <v>87</v>
      </c>
      <c r="B28" s="9" t="s">
        <v>89</v>
      </c>
      <c r="C28" s="9" t="s">
        <v>118</v>
      </c>
      <c r="I28" s="9" t="s">
        <v>174</v>
      </c>
      <c r="J28" s="9" t="s">
        <v>119</v>
      </c>
      <c r="K28" s="9" t="s">
        <v>271</v>
      </c>
    </row>
    <row r="29" spans="1:12" ht="26" x14ac:dyDescent="0.35">
      <c r="A29" s="9" t="s">
        <v>66</v>
      </c>
      <c r="B29" s="9" t="s">
        <v>68</v>
      </c>
      <c r="C29" s="9" t="s">
        <v>118</v>
      </c>
      <c r="H29" s="9" t="s">
        <v>119</v>
      </c>
      <c r="J29" s="9" t="s">
        <v>175</v>
      </c>
      <c r="K29" s="9" t="s">
        <v>272</v>
      </c>
    </row>
    <row r="30" spans="1:12" ht="26" x14ac:dyDescent="0.35">
      <c r="A30" s="9" t="s">
        <v>151</v>
      </c>
      <c r="B30" s="9" t="s">
        <v>152</v>
      </c>
      <c r="C30" s="9" t="s">
        <v>118</v>
      </c>
      <c r="H30" s="9" t="s">
        <v>119</v>
      </c>
      <c r="J30" s="9" t="s">
        <v>153</v>
      </c>
      <c r="K30" s="9" t="s">
        <v>273</v>
      </c>
    </row>
    <row r="31" spans="1:12" x14ac:dyDescent="0.35">
      <c r="A31" s="9" t="s">
        <v>183</v>
      </c>
      <c r="B31" s="9" t="s">
        <v>119</v>
      </c>
      <c r="C31" s="9" t="s">
        <v>118</v>
      </c>
      <c r="H31" s="9" t="s">
        <v>119</v>
      </c>
      <c r="J31" s="9" t="s">
        <v>184</v>
      </c>
      <c r="K31" s="9" t="s">
        <v>184</v>
      </c>
    </row>
    <row r="32" spans="1:12" ht="26" x14ac:dyDescent="0.35">
      <c r="A32" s="9" t="s">
        <v>142</v>
      </c>
      <c r="B32" s="9" t="s">
        <v>143</v>
      </c>
      <c r="C32" s="9" t="s">
        <v>118</v>
      </c>
      <c r="H32" s="9" t="s">
        <v>119</v>
      </c>
      <c r="J32" s="9" t="s">
        <v>287</v>
      </c>
      <c r="K32" s="9" t="s">
        <v>288</v>
      </c>
    </row>
    <row r="33" spans="1:11" ht="39" x14ac:dyDescent="0.35">
      <c r="A33" s="9" t="s">
        <v>139</v>
      </c>
      <c r="B33" s="9" t="s">
        <v>140</v>
      </c>
      <c r="C33" s="9" t="s">
        <v>118</v>
      </c>
      <c r="I33" s="9" t="s">
        <v>141</v>
      </c>
      <c r="J33" s="9" t="s">
        <v>119</v>
      </c>
      <c r="K33" s="9" t="s">
        <v>289</v>
      </c>
    </row>
    <row r="34" spans="1:11" x14ac:dyDescent="0.35">
      <c r="A34" s="9" t="s">
        <v>98</v>
      </c>
      <c r="B34" s="9" t="s">
        <v>100</v>
      </c>
      <c r="C34" s="9" t="s">
        <v>148</v>
      </c>
      <c r="G34" s="12" t="s">
        <v>150</v>
      </c>
      <c r="H34" s="9" t="s">
        <v>119</v>
      </c>
      <c r="J34" s="9" t="s">
        <v>119</v>
      </c>
      <c r="K34" s="9" t="s">
        <v>274</v>
      </c>
    </row>
    <row r="35" spans="1:11" x14ac:dyDescent="0.35">
      <c r="A35" s="9" t="s">
        <v>30</v>
      </c>
      <c r="B35" s="9" t="s">
        <v>119</v>
      </c>
      <c r="C35" s="9" t="s">
        <v>30</v>
      </c>
      <c r="J35" s="9" t="s">
        <v>119</v>
      </c>
      <c r="K35" s="9" t="s">
        <v>119</v>
      </c>
    </row>
    <row r="36" spans="1:11" ht="39" x14ac:dyDescent="0.35">
      <c r="A36" s="9" t="s">
        <v>146</v>
      </c>
      <c r="B36" s="9" t="s">
        <v>147</v>
      </c>
      <c r="C36" s="9" t="s">
        <v>118</v>
      </c>
      <c r="H36" s="9" t="s">
        <v>119</v>
      </c>
      <c r="J36" s="9" t="s">
        <v>119</v>
      </c>
      <c r="K36" s="9" t="s">
        <v>275</v>
      </c>
    </row>
    <row r="37" spans="1:11" ht="52" x14ac:dyDescent="0.35">
      <c r="A37" s="9" t="s">
        <v>64</v>
      </c>
      <c r="B37" s="9" t="s">
        <v>65</v>
      </c>
      <c r="C37" s="9" t="s">
        <v>118</v>
      </c>
      <c r="G37" s="12" t="s">
        <v>125</v>
      </c>
      <c r="H37" s="9" t="s">
        <v>119</v>
      </c>
      <c r="J37" s="9" t="s">
        <v>119</v>
      </c>
      <c r="K37" s="9" t="s">
        <v>298</v>
      </c>
    </row>
    <row r="38" spans="1:11" ht="26" x14ac:dyDescent="0.35">
      <c r="A38" s="9" t="s">
        <v>157</v>
      </c>
      <c r="B38" s="9" t="s">
        <v>158</v>
      </c>
      <c r="C38" s="9" t="s">
        <v>118</v>
      </c>
      <c r="I38" s="9" t="s">
        <v>159</v>
      </c>
      <c r="J38" s="9" t="s">
        <v>119</v>
      </c>
      <c r="K38" s="9" t="s">
        <v>276</v>
      </c>
    </row>
    <row r="39" spans="1:11" ht="26" x14ac:dyDescent="0.35">
      <c r="A39" s="9" t="s">
        <v>160</v>
      </c>
      <c r="B39" s="9" t="s">
        <v>161</v>
      </c>
      <c r="C39" s="9" t="s">
        <v>118</v>
      </c>
      <c r="H39" s="9" t="s">
        <v>119</v>
      </c>
      <c r="J39" s="9" t="s">
        <v>162</v>
      </c>
      <c r="K39" s="9" t="s">
        <v>277</v>
      </c>
    </row>
    <row r="40" spans="1:11" ht="39" x14ac:dyDescent="0.35">
      <c r="A40" s="9" t="s">
        <v>113</v>
      </c>
      <c r="B40" s="9" t="s">
        <v>115</v>
      </c>
      <c r="C40" s="9" t="s">
        <v>118</v>
      </c>
      <c r="G40" s="12" t="s">
        <v>173</v>
      </c>
      <c r="H40" s="9" t="s">
        <v>119</v>
      </c>
      <c r="J40" s="9" t="s">
        <v>119</v>
      </c>
      <c r="K40" s="9" t="s">
        <v>278</v>
      </c>
    </row>
    <row r="41" spans="1:11" x14ac:dyDescent="0.35">
      <c r="A41" s="9" t="s">
        <v>31</v>
      </c>
      <c r="B41" s="9" t="s">
        <v>33</v>
      </c>
      <c r="C41" s="9" t="s">
        <v>118</v>
      </c>
      <c r="H41" s="9" t="s">
        <v>252</v>
      </c>
      <c r="I41" s="9" t="s">
        <v>253</v>
      </c>
      <c r="J41" s="9" t="s">
        <v>119</v>
      </c>
      <c r="K41" s="9" t="s">
        <v>279</v>
      </c>
    </row>
    <row r="42" spans="1:11" ht="26" x14ac:dyDescent="0.35">
      <c r="A42" s="9" t="s">
        <v>71</v>
      </c>
      <c r="B42" s="9" t="s">
        <v>290</v>
      </c>
      <c r="C42" s="9" t="s">
        <v>118</v>
      </c>
      <c r="H42" s="9" t="s">
        <v>119</v>
      </c>
      <c r="J42" s="9" t="s">
        <v>291</v>
      </c>
      <c r="K42" s="9" t="s">
        <v>291</v>
      </c>
    </row>
    <row r="43" spans="1:11" x14ac:dyDescent="0.35">
      <c r="A43" s="9" t="s">
        <v>185</v>
      </c>
      <c r="B43" s="9" t="s">
        <v>119</v>
      </c>
      <c r="C43" s="9" t="s">
        <v>118</v>
      </c>
      <c r="H43" s="9" t="s">
        <v>119</v>
      </c>
      <c r="J43" s="9" t="s">
        <v>186</v>
      </c>
      <c r="K43" s="9" t="s">
        <v>280</v>
      </c>
    </row>
    <row r="44" spans="1:11" x14ac:dyDescent="0.35">
      <c r="A44" s="9" t="s">
        <v>133</v>
      </c>
      <c r="B44" s="9" t="s">
        <v>134</v>
      </c>
      <c r="C44" s="9" t="s">
        <v>118</v>
      </c>
      <c r="I44" s="9" t="s">
        <v>135</v>
      </c>
      <c r="J44" s="9" t="s">
        <v>119</v>
      </c>
      <c r="K44" s="9" t="s">
        <v>281</v>
      </c>
    </row>
    <row r="45" spans="1:11" x14ac:dyDescent="0.35">
      <c r="A45" s="9" t="s">
        <v>188</v>
      </c>
      <c r="B45" s="9" t="s">
        <v>119</v>
      </c>
      <c r="C45" s="9" t="s">
        <v>118</v>
      </c>
      <c r="H45" s="9" t="s">
        <v>119</v>
      </c>
      <c r="J45" s="9" t="s">
        <v>189</v>
      </c>
      <c r="K45" s="9" t="s">
        <v>282</v>
      </c>
    </row>
    <row r="46" spans="1:11" x14ac:dyDescent="0.35">
      <c r="A46" s="9" t="s">
        <v>48</v>
      </c>
      <c r="B46" s="9" t="s">
        <v>119</v>
      </c>
      <c r="C46" s="9" t="s">
        <v>118</v>
      </c>
      <c r="G46" s="12" t="s">
        <v>187</v>
      </c>
      <c r="H46" s="9" t="s">
        <v>119</v>
      </c>
      <c r="J46" s="9" t="s">
        <v>119</v>
      </c>
      <c r="K46" s="9" t="s">
        <v>283</v>
      </c>
    </row>
    <row r="47" spans="1:11" ht="26" x14ac:dyDescent="0.35">
      <c r="A47" s="9" t="s">
        <v>178</v>
      </c>
      <c r="B47" s="9" t="s">
        <v>179</v>
      </c>
      <c r="C47" s="9" t="s">
        <v>148</v>
      </c>
      <c r="D47" s="9" t="s">
        <v>180</v>
      </c>
      <c r="F47" s="12" t="s">
        <v>181</v>
      </c>
      <c r="G47" s="12" t="s">
        <v>182</v>
      </c>
      <c r="H47" s="9" t="s">
        <v>119</v>
      </c>
      <c r="J47" s="9" t="s">
        <v>119</v>
      </c>
      <c r="K47" s="9" t="s">
        <v>284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C3" activePane="bottomRight" state="frozenSplit"/>
      <selection pane="topRight" activeCell="F1" sqref="F1"/>
      <selection pane="bottomLeft" activeCell="A20" sqref="A20"/>
      <selection pane="bottomRight" activeCell="G3" sqref="G3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190</v>
      </c>
      <c r="G2" s="2" t="s">
        <v>236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191</v>
      </c>
      <c r="F3" s="7" t="s">
        <v>241</v>
      </c>
      <c r="G3" s="15" t="s">
        <v>242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190</v>
      </c>
      <c r="G2" s="2" t="s">
        <v>236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H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190</v>
      </c>
      <c r="I2" s="2" t="s">
        <v>236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192</v>
      </c>
    </row>
    <row r="4" spans="1:9" ht="26" x14ac:dyDescent="0.35">
      <c r="A4" s="6" t="s">
        <v>37</v>
      </c>
      <c r="C4" s="7" t="s">
        <v>38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193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57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5" sqref="A35:XFD3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  <row r="3" spans="1:8" ht="26" x14ac:dyDescent="0.35">
      <c r="A3" s="15" t="s">
        <v>34</v>
      </c>
      <c r="B3" s="15"/>
      <c r="C3" s="16" t="s">
        <v>35</v>
      </c>
      <c r="D3" s="16" t="str">
        <f>CalcolaParents($A$3:C3)</f>
        <v/>
      </c>
      <c r="E3" s="16" t="s">
        <v>32</v>
      </c>
      <c r="F3" s="16" t="str">
        <f t="shared" ref="F3:F35" si="0">FormattaTipo(A3)</f>
        <v>Type: string
Pattern: YYYY-MM-DDTHH:MM:SS[.M{1,6}]</v>
      </c>
      <c r="G3" s="16" t="s">
        <v>194</v>
      </c>
      <c r="H3" s="15"/>
    </row>
    <row r="4" spans="1:8" ht="26" x14ac:dyDescent="0.35">
      <c r="A4" s="15" t="s">
        <v>37</v>
      </c>
      <c r="B4" s="15"/>
      <c r="C4" s="16" t="s">
        <v>38</v>
      </c>
      <c r="D4" s="16" t="str">
        <f>CalcolaParents($A$3:C4)</f>
        <v/>
      </c>
      <c r="E4" s="16" t="s">
        <v>32</v>
      </c>
      <c r="F4" s="16" t="str">
        <f t="shared" si="0"/>
        <v>Type: string
Max Length: 22</v>
      </c>
      <c r="G4" s="16" t="s">
        <v>193</v>
      </c>
      <c r="H4" s="15"/>
    </row>
    <row r="5" spans="1:8" ht="26" x14ac:dyDescent="0.35">
      <c r="A5" s="15" t="s">
        <v>40</v>
      </c>
      <c r="B5" s="15"/>
      <c r="C5" s="16" t="s">
        <v>41</v>
      </c>
      <c r="D5" s="16" t="str">
        <f>CalcolaParents($A$3:C5)</f>
        <v/>
      </c>
      <c r="E5" s="16" t="s">
        <v>32</v>
      </c>
      <c r="F5" s="16" t="str">
        <f t="shared" si="0"/>
        <v>Type: string
Allowed values: L01,L02,L03,L04,F02,F03,F01,F04</v>
      </c>
      <c r="G5" s="16" t="s">
        <v>195</v>
      </c>
      <c r="H5" s="15"/>
    </row>
    <row r="6" spans="1:8" ht="39" x14ac:dyDescent="0.35">
      <c r="A6" s="15" t="s">
        <v>43</v>
      </c>
      <c r="B6" s="15"/>
      <c r="C6" s="16" t="s">
        <v>44</v>
      </c>
      <c r="D6" s="16" t="str">
        <f>CalcolaParents($A$3:C6)</f>
        <v/>
      </c>
      <c r="E6" s="16" t="s">
        <v>32</v>
      </c>
      <c r="F6" s="16" t="str">
        <f t="shared" si="0"/>
        <v>Type: string
Allowed values: TO BE AUTHORIZED,EXECUTED,REJECTED</v>
      </c>
      <c r="G6" s="16" t="s">
        <v>196</v>
      </c>
      <c r="H6" s="15"/>
    </row>
    <row r="7" spans="1:8" ht="26" x14ac:dyDescent="0.35">
      <c r="A7" s="15" t="s">
        <v>34</v>
      </c>
      <c r="B7" s="15"/>
      <c r="C7" s="16" t="s">
        <v>46</v>
      </c>
      <c r="D7" s="16" t="str">
        <f>CalcolaParents($A$3:C7)</f>
        <v/>
      </c>
      <c r="E7" s="16" t="s">
        <v>32</v>
      </c>
      <c r="F7" s="16" t="str">
        <f t="shared" si="0"/>
        <v>Type: string
Pattern: YYYY-MM-DDTHH:MM:SS[.M{1,6}]</v>
      </c>
      <c r="G7" s="16" t="s">
        <v>197</v>
      </c>
      <c r="H7" s="15"/>
    </row>
    <row r="8" spans="1:8" ht="26" x14ac:dyDescent="0.35">
      <c r="A8" s="15" t="s">
        <v>34</v>
      </c>
      <c r="B8" s="15"/>
      <c r="C8" s="16" t="s">
        <v>47</v>
      </c>
      <c r="D8" s="16" t="str">
        <f>CalcolaParents($A$3:C8)</f>
        <v/>
      </c>
      <c r="E8" s="16" t="s">
        <v>32</v>
      </c>
      <c r="F8" s="16" t="str">
        <f t="shared" si="0"/>
        <v>Type: string
Pattern: YYYY-MM-DDTHH:MM:SS[.M{1,6}]</v>
      </c>
      <c r="G8" s="16" t="s">
        <v>198</v>
      </c>
      <c r="H8" s="15"/>
    </row>
    <row r="9" spans="1:8" ht="26" x14ac:dyDescent="0.35">
      <c r="A9" s="15" t="s">
        <v>48</v>
      </c>
      <c r="B9" s="15"/>
      <c r="C9" s="16" t="s">
        <v>49</v>
      </c>
      <c r="D9" s="16" t="str">
        <f>CalcolaParents($A$3:C9)</f>
        <v/>
      </c>
      <c r="E9" s="16" t="s">
        <v>32</v>
      </c>
      <c r="F9" s="16" t="str">
        <f t="shared" si="0"/>
        <v>Type: string
Max Length: 8</v>
      </c>
      <c r="G9" s="16" t="s">
        <v>199</v>
      </c>
      <c r="H9" s="15"/>
    </row>
    <row r="10" spans="1:8" ht="26" x14ac:dyDescent="0.35">
      <c r="A10" s="15" t="s">
        <v>48</v>
      </c>
      <c r="B10" s="15"/>
      <c r="C10" s="16" t="s">
        <v>50</v>
      </c>
      <c r="D10" s="16" t="str">
        <f>CalcolaParents($A$3:C10)</f>
        <v/>
      </c>
      <c r="E10" s="16" t="s">
        <v>32</v>
      </c>
      <c r="F10" s="16" t="str">
        <f t="shared" si="0"/>
        <v>Type: string
Max Length: 8</v>
      </c>
      <c r="G10" s="16" t="s">
        <v>200</v>
      </c>
      <c r="H10" s="15"/>
    </row>
    <row r="11" spans="1:8" ht="26" x14ac:dyDescent="0.35">
      <c r="A11" s="15" t="s">
        <v>30</v>
      </c>
      <c r="B11" s="15"/>
      <c r="C11" s="16" t="s">
        <v>51</v>
      </c>
      <c r="D11" s="16" t="str">
        <f>CalcolaParents($A$3:C11)</f>
        <v/>
      </c>
      <c r="E11" s="16" t="s">
        <v>52</v>
      </c>
      <c r="F11" s="16" t="str">
        <f t="shared" si="0"/>
        <v>Type: object</v>
      </c>
      <c r="G11" s="16" t="s">
        <v>201</v>
      </c>
      <c r="H11" s="15"/>
    </row>
    <row r="12" spans="1:8" ht="39" x14ac:dyDescent="0.35">
      <c r="A12" s="15" t="s">
        <v>237</v>
      </c>
      <c r="B12" s="15" t="s">
        <v>51</v>
      </c>
      <c r="C12" s="16" t="s">
        <v>54</v>
      </c>
      <c r="D12" s="16" t="str">
        <f>CalcolaParents($A$3:C12)</f>
        <v>fundingDefundingDetails</v>
      </c>
      <c r="E12" s="17" t="s">
        <v>32</v>
      </c>
      <c r="F12" s="16" t="str">
        <f t="shared" si="0"/>
        <v>Type: string
Length: 11
Pattern: 4!c2!a2!c3!c</v>
      </c>
      <c r="G12" s="16" t="s">
        <v>202</v>
      </c>
      <c r="H12" s="16" t="s">
        <v>239</v>
      </c>
    </row>
    <row r="13" spans="1:8" ht="39" x14ac:dyDescent="0.35">
      <c r="A13" s="15" t="s">
        <v>56</v>
      </c>
      <c r="B13" s="15" t="s">
        <v>51</v>
      </c>
      <c r="C13" s="16" t="s">
        <v>57</v>
      </c>
      <c r="D13" s="16" t="str">
        <f>CalcolaParents($A$3:C13)</f>
        <v>fundingDefundingDetails</v>
      </c>
      <c r="E13" s="17" t="s">
        <v>32</v>
      </c>
      <c r="F13" s="16" t="str">
        <f t="shared" si="0"/>
        <v>Type: number
Format: double
Max Value: 999999999999999.99</v>
      </c>
      <c r="G13" s="16" t="s">
        <v>232</v>
      </c>
      <c r="H13" s="15"/>
    </row>
    <row r="14" spans="1:8" ht="26" x14ac:dyDescent="0.35">
      <c r="A14" s="15" t="s">
        <v>30</v>
      </c>
      <c r="B14" s="15"/>
      <c r="C14" s="16" t="s">
        <v>59</v>
      </c>
      <c r="D14" s="16" t="str">
        <f>CalcolaParents($A$3:C14)</f>
        <v/>
      </c>
      <c r="E14" s="17" t="s">
        <v>52</v>
      </c>
      <c r="F14" s="16" t="str">
        <f t="shared" si="0"/>
        <v>Type: object</v>
      </c>
      <c r="G14" s="16" t="s">
        <v>203</v>
      </c>
      <c r="H14" s="15"/>
    </row>
    <row r="15" spans="1:8" ht="26" x14ac:dyDescent="0.35">
      <c r="A15" s="15" t="s">
        <v>60</v>
      </c>
      <c r="B15" s="15" t="s">
        <v>59</v>
      </c>
      <c r="C15" s="16" t="s">
        <v>61</v>
      </c>
      <c r="D15" s="16" t="str">
        <f>CalcolaParents($A$3:C15)</f>
        <v>revokeLcrDetails</v>
      </c>
      <c r="E15" s="17" t="s">
        <v>32</v>
      </c>
      <c r="F15" s="16" t="str">
        <f t="shared" si="0"/>
        <v>Type: string
Pattern: 4!c2!a2!c</v>
      </c>
      <c r="G15" s="16" t="s">
        <v>214</v>
      </c>
      <c r="H15" s="15"/>
    </row>
    <row r="16" spans="1:8" ht="26" x14ac:dyDescent="0.35">
      <c r="A16" s="15" t="s">
        <v>60</v>
      </c>
      <c r="B16" s="15" t="s">
        <v>59</v>
      </c>
      <c r="C16" s="16" t="s">
        <v>63</v>
      </c>
      <c r="D16" s="16" t="str">
        <f>CalcolaParents($A$3:C16)</f>
        <v>revokeLcrDetails</v>
      </c>
      <c r="E16" s="17" t="s">
        <v>32</v>
      </c>
      <c r="F16" s="16" t="str">
        <f t="shared" si="0"/>
        <v>Type: string
Pattern: 4!c2!a2!c</v>
      </c>
      <c r="G16" s="16" t="s">
        <v>215</v>
      </c>
      <c r="H16" s="15"/>
    </row>
    <row r="17" spans="1:8" ht="26" x14ac:dyDescent="0.35">
      <c r="A17" s="15" t="s">
        <v>64</v>
      </c>
      <c r="B17" s="15" t="s">
        <v>59</v>
      </c>
      <c r="C17" s="17" t="s">
        <v>216</v>
      </c>
      <c r="D17" s="16" t="str">
        <f>CalcolaParents($A$3:C17)</f>
        <v>revokeLcrDetails</v>
      </c>
      <c r="E17" s="17" t="s">
        <v>32</v>
      </c>
      <c r="F17" s="16" t="str">
        <f t="shared" si="0"/>
        <v>Type: string
Max Length: 16</v>
      </c>
      <c r="G17" s="16" t="s">
        <v>217</v>
      </c>
      <c r="H17" s="15"/>
    </row>
    <row r="18" spans="1:8" ht="26" x14ac:dyDescent="0.35">
      <c r="A18" s="15" t="s">
        <v>66</v>
      </c>
      <c r="B18" s="15" t="s">
        <v>59</v>
      </c>
      <c r="C18" s="16" t="s">
        <v>67</v>
      </c>
      <c r="D18" s="16" t="str">
        <f>CalcolaParents($A$3:C18)</f>
        <v>revokeLcrDetails</v>
      </c>
      <c r="E18" s="17" t="s">
        <v>32</v>
      </c>
      <c r="F18" s="16" t="str">
        <f t="shared" si="0"/>
        <v>Type: string
Allowed values: STTLD,CANC,REVK,RJCT,QUEU</v>
      </c>
      <c r="G18" s="16" t="s">
        <v>218</v>
      </c>
      <c r="H18" s="15"/>
    </row>
    <row r="19" spans="1:8" ht="39" x14ac:dyDescent="0.35">
      <c r="A19" s="15" t="s">
        <v>237</v>
      </c>
      <c r="B19" s="15" t="s">
        <v>59</v>
      </c>
      <c r="C19" s="16" t="s">
        <v>69</v>
      </c>
      <c r="D19" s="16" t="str">
        <f>CalcolaParents($A$3:C19)</f>
        <v>revokeLcrDetails</v>
      </c>
      <c r="E19" s="17" t="s">
        <v>32</v>
      </c>
      <c r="F19" s="16" t="str">
        <f t="shared" si="0"/>
        <v>Type: string
Length: 11
Pattern: 4!c2!a2!c3!c</v>
      </c>
      <c r="G19" s="16" t="s">
        <v>219</v>
      </c>
      <c r="H19" s="16" t="s">
        <v>239</v>
      </c>
    </row>
    <row r="20" spans="1:8" ht="39" x14ac:dyDescent="0.35">
      <c r="A20" s="15" t="s">
        <v>237</v>
      </c>
      <c r="B20" s="15" t="s">
        <v>59</v>
      </c>
      <c r="C20" s="16" t="s">
        <v>70</v>
      </c>
      <c r="D20" s="16" t="str">
        <f>CalcolaParents($A$3:C20)</f>
        <v>revokeLcrDetails</v>
      </c>
      <c r="E20" s="17" t="s">
        <v>32</v>
      </c>
      <c r="F20" s="16" t="str">
        <f t="shared" si="0"/>
        <v>Type: string
Length: 11
Pattern: 4!c2!a2!c3!c</v>
      </c>
      <c r="G20" s="16" t="s">
        <v>220</v>
      </c>
      <c r="H20" s="16" t="s">
        <v>239</v>
      </c>
    </row>
    <row r="21" spans="1:8" ht="26" x14ac:dyDescent="0.35">
      <c r="A21" s="15" t="s">
        <v>71</v>
      </c>
      <c r="B21" s="15" t="s">
        <v>59</v>
      </c>
      <c r="C21" s="16" t="s">
        <v>72</v>
      </c>
      <c r="D21" s="16" t="str">
        <f>CalcolaParents($A$3:C21)</f>
        <v>revokeLcrDetails</v>
      </c>
      <c r="E21" s="17" t="s">
        <v>32</v>
      </c>
      <c r="F21" s="16" t="str">
        <f t="shared" si="0"/>
        <v>Type: string
Allowed values: DCT</v>
      </c>
      <c r="G21" s="16" t="s">
        <v>204</v>
      </c>
      <c r="H21" s="15"/>
    </row>
    <row r="22" spans="1:8" ht="26" x14ac:dyDescent="0.35">
      <c r="A22" s="15" t="s">
        <v>73</v>
      </c>
      <c r="B22" s="15" t="s">
        <v>59</v>
      </c>
      <c r="C22" s="16" t="s">
        <v>74</v>
      </c>
      <c r="D22" s="16" t="str">
        <f>CalcolaParents($A$3:C22)</f>
        <v>revokeLcrDetails</v>
      </c>
      <c r="E22" s="17" t="s">
        <v>32</v>
      </c>
      <c r="F22" s="16" t="str">
        <f t="shared" si="0"/>
        <v>Type: string
Pattern: YYYY-MM-DD</v>
      </c>
      <c r="G22" s="16" t="s">
        <v>205</v>
      </c>
      <c r="H22" s="15"/>
    </row>
    <row r="23" spans="1:8" ht="26" x14ac:dyDescent="0.35">
      <c r="A23" s="15" t="s">
        <v>30</v>
      </c>
      <c r="B23" s="15"/>
      <c r="C23" s="16" t="s">
        <v>76</v>
      </c>
      <c r="D23" s="16" t="str">
        <f>CalcolaParents($A$3:C23)</f>
        <v/>
      </c>
      <c r="E23" s="17" t="s">
        <v>52</v>
      </c>
      <c r="F23" s="16" t="str">
        <f t="shared" si="0"/>
        <v>Type: object</v>
      </c>
      <c r="G23" s="16" t="s">
        <v>206</v>
      </c>
      <c r="H23" s="15"/>
    </row>
    <row r="24" spans="1:8" ht="26" x14ac:dyDescent="0.35">
      <c r="A24" s="15" t="s">
        <v>73</v>
      </c>
      <c r="B24" s="15" t="s">
        <v>76</v>
      </c>
      <c r="C24" s="16" t="s">
        <v>74</v>
      </c>
      <c r="D24" s="16" t="str">
        <f>CalcolaParents($A$3:C24)</f>
        <v>revokeAllLcrDetails</v>
      </c>
      <c r="E24" s="17" t="s">
        <v>32</v>
      </c>
      <c r="F24" s="16" t="str">
        <f t="shared" si="0"/>
        <v>Type: string
Pattern: YYYY-MM-DD</v>
      </c>
      <c r="G24" s="16" t="s">
        <v>221</v>
      </c>
      <c r="H24" s="15"/>
    </row>
    <row r="25" spans="1:8" ht="39" x14ac:dyDescent="0.35">
      <c r="A25" s="15" t="s">
        <v>237</v>
      </c>
      <c r="B25" s="15" t="s">
        <v>76</v>
      </c>
      <c r="C25" s="16" t="s">
        <v>54</v>
      </c>
      <c r="D25" s="16" t="str">
        <f>CalcolaParents($A$3:C25)</f>
        <v>revokeAllLcrDetails</v>
      </c>
      <c r="E25" s="17" t="s">
        <v>32</v>
      </c>
      <c r="F25" s="16" t="str">
        <f t="shared" si="0"/>
        <v>Type: string
Length: 11
Pattern: 4!c2!a2!c3!c</v>
      </c>
      <c r="G25" s="16" t="s">
        <v>202</v>
      </c>
      <c r="H25" s="16" t="s">
        <v>239</v>
      </c>
    </row>
    <row r="26" spans="1:8" ht="26" x14ac:dyDescent="0.35">
      <c r="A26" s="15" t="s">
        <v>30</v>
      </c>
      <c r="B26" s="15"/>
      <c r="C26" s="16" t="s">
        <v>77</v>
      </c>
      <c r="D26" s="16" t="str">
        <f>CalcolaParents($A$3:C26)</f>
        <v/>
      </c>
      <c r="E26" s="17" t="s">
        <v>52</v>
      </c>
      <c r="F26" s="16" t="str">
        <f t="shared" si="0"/>
        <v>Type: object</v>
      </c>
      <c r="G26" s="16" t="s">
        <v>207</v>
      </c>
      <c r="H26" s="15"/>
    </row>
    <row r="27" spans="1:8" ht="39" x14ac:dyDescent="0.35">
      <c r="A27" s="15" t="s">
        <v>237</v>
      </c>
      <c r="B27" s="15" t="s">
        <v>77</v>
      </c>
      <c r="C27" s="16" t="s">
        <v>54</v>
      </c>
      <c r="D27" s="16" t="str">
        <f>CalcolaParents($A$3:C27)</f>
        <v>retransmitOutFileDetails</v>
      </c>
      <c r="E27" s="17" t="s">
        <v>32</v>
      </c>
      <c r="F27" s="16" t="str">
        <f t="shared" si="0"/>
        <v>Type: string
Length: 11
Pattern: 4!c2!a2!c3!c</v>
      </c>
      <c r="G27" s="16" t="s">
        <v>202</v>
      </c>
      <c r="H27" s="16" t="s">
        <v>239</v>
      </c>
    </row>
    <row r="28" spans="1:8" ht="26" x14ac:dyDescent="0.35">
      <c r="A28" s="15" t="s">
        <v>60</v>
      </c>
      <c r="B28" s="15" t="s">
        <v>77</v>
      </c>
      <c r="C28" s="16" t="s">
        <v>78</v>
      </c>
      <c r="D28" s="16" t="str">
        <f>CalcolaParents($A$3:C28)</f>
        <v>retransmitOutFileDetails</v>
      </c>
      <c r="E28" s="17" t="s">
        <v>32</v>
      </c>
      <c r="F28" s="16" t="str">
        <f t="shared" si="0"/>
        <v>Type: string
Pattern: 4!c2!a2!c</v>
      </c>
      <c r="G28" s="16" t="s">
        <v>208</v>
      </c>
      <c r="H28" s="15"/>
    </row>
    <row r="29" spans="1:8" ht="26" x14ac:dyDescent="0.35">
      <c r="A29" s="15" t="s">
        <v>79</v>
      </c>
      <c r="B29" s="15" t="s">
        <v>77</v>
      </c>
      <c r="C29" s="16" t="s">
        <v>80</v>
      </c>
      <c r="D29" s="16" t="str">
        <f>CalcolaParents($A$3:C29)</f>
        <v>retransmitOutFileDetails</v>
      </c>
      <c r="E29" s="17" t="s">
        <v>32</v>
      </c>
      <c r="F29" s="16" t="str">
        <f t="shared" si="0"/>
        <v>Type: string
Allowed values: LNR,LMR,DLR</v>
      </c>
      <c r="G29" s="16" t="s">
        <v>222</v>
      </c>
      <c r="H29" s="21" t="s">
        <v>243</v>
      </c>
    </row>
    <row r="30" spans="1:8" ht="39" x14ac:dyDescent="0.35">
      <c r="A30" s="15" t="s">
        <v>82</v>
      </c>
      <c r="B30" s="15" t="s">
        <v>77</v>
      </c>
      <c r="C30" s="16" t="s">
        <v>83</v>
      </c>
      <c r="D30" s="16" t="str">
        <f>CalcolaParents($A$3:C30)</f>
        <v>retransmitOutFileDetails</v>
      </c>
      <c r="E30" s="17" t="s">
        <v>32</v>
      </c>
      <c r="F30" s="16" t="str">
        <f t="shared" si="0"/>
        <v>Type: string
Pattern: 16!c</v>
      </c>
      <c r="G30" s="16" t="s">
        <v>244</v>
      </c>
      <c r="H30" s="21" t="s">
        <v>245</v>
      </c>
    </row>
    <row r="31" spans="1:8" ht="39" x14ac:dyDescent="0.35">
      <c r="A31" s="15" t="s">
        <v>84</v>
      </c>
      <c r="B31" s="15" t="s">
        <v>77</v>
      </c>
      <c r="C31" s="16" t="s">
        <v>85</v>
      </c>
      <c r="D31" s="16" t="str">
        <f>CalcolaParents($A$3:C31)</f>
        <v>retransmitOutFileDetails</v>
      </c>
      <c r="E31" s="17" t="s">
        <v>32</v>
      </c>
      <c r="F31" s="16" t="str">
        <f t="shared" si="0"/>
        <v>Type: string
Allowed values: TSD,TSG,ERR,RNS</v>
      </c>
      <c r="G31" s="16" t="s">
        <v>246</v>
      </c>
      <c r="H31" s="21" t="s">
        <v>245</v>
      </c>
    </row>
    <row r="32" spans="1:8" ht="39" x14ac:dyDescent="0.35">
      <c r="A32" s="15" t="s">
        <v>87</v>
      </c>
      <c r="B32" s="15" t="s">
        <v>77</v>
      </c>
      <c r="C32" s="16" t="s">
        <v>88</v>
      </c>
      <c r="D32" s="16" t="str">
        <f>CalcolaParents($A$3:C32)</f>
        <v>retransmitOutFileDetails</v>
      </c>
      <c r="E32" s="17" t="s">
        <v>32</v>
      </c>
      <c r="F32" s="16" t="str">
        <f t="shared" si="0"/>
        <v>Type: string</v>
      </c>
      <c r="G32" s="16" t="s">
        <v>247</v>
      </c>
      <c r="H32" s="21" t="s">
        <v>245</v>
      </c>
    </row>
    <row r="33" spans="1:8" ht="26" x14ac:dyDescent="0.35">
      <c r="A33" s="15" t="s">
        <v>73</v>
      </c>
      <c r="B33" s="15" t="s">
        <v>77</v>
      </c>
      <c r="C33" s="16" t="s">
        <v>74</v>
      </c>
      <c r="D33" s="16" t="str">
        <f>CalcolaParents($A$3:C33)</f>
        <v>retransmitOutFileDetails</v>
      </c>
      <c r="E33" s="17" t="s">
        <v>32</v>
      </c>
      <c r="F33" s="16" t="str">
        <f t="shared" si="0"/>
        <v>Type: string
Pattern: YYYY-MM-DD</v>
      </c>
      <c r="G33" s="16" t="s">
        <v>221</v>
      </c>
      <c r="H33" s="15"/>
    </row>
    <row r="34" spans="1:8" ht="26" x14ac:dyDescent="0.35">
      <c r="A34" s="15" t="s">
        <v>30</v>
      </c>
      <c r="B34" s="15"/>
      <c r="C34" s="16" t="s">
        <v>90</v>
      </c>
      <c r="D34" s="16" t="str">
        <f>CalcolaParents($A$3:C34)</f>
        <v/>
      </c>
      <c r="E34" s="17" t="s">
        <v>52</v>
      </c>
      <c r="F34" s="16" t="str">
        <f t="shared" si="0"/>
        <v>Type: object</v>
      </c>
      <c r="G34" s="16" t="s">
        <v>209</v>
      </c>
      <c r="H34" s="15"/>
    </row>
    <row r="35" spans="1:8" ht="26" x14ac:dyDescent="0.35">
      <c r="A35" s="15" t="s">
        <v>79</v>
      </c>
      <c r="B35" s="15" t="s">
        <v>90</v>
      </c>
      <c r="C35" s="16" t="s">
        <v>80</v>
      </c>
      <c r="D35" s="16" t="str">
        <f>CalcolaParents($A$3:C35)</f>
        <v>resendAllDetails</v>
      </c>
      <c r="E35" s="17" t="s">
        <v>32</v>
      </c>
      <c r="F35" s="16" t="str">
        <f t="shared" si="0"/>
        <v>Type: string
Allowed values: LNR,LMR,DLR</v>
      </c>
      <c r="G35" s="16" t="s">
        <v>222</v>
      </c>
      <c r="H35" s="21" t="s">
        <v>243</v>
      </c>
    </row>
    <row r="36" spans="1:8" ht="26" x14ac:dyDescent="0.35">
      <c r="A36" s="15" t="s">
        <v>34</v>
      </c>
      <c r="B36" s="15" t="s">
        <v>90</v>
      </c>
      <c r="C36" s="16" t="s">
        <v>91</v>
      </c>
      <c r="D36" s="16" t="str">
        <f>CalcolaParents($A$3:C36)</f>
        <v>resendAllDetails</v>
      </c>
      <c r="E36" s="17" t="s">
        <v>32</v>
      </c>
      <c r="F36" s="16" t="str">
        <f t="shared" ref="F36:F57" si="1">FormattaTipo(A36)</f>
        <v>Type: string
Pattern: YYYY-MM-DDTHH:MM:SS[.M{1,6}]</v>
      </c>
      <c r="G36" s="16" t="s">
        <v>210</v>
      </c>
      <c r="H36" s="15"/>
    </row>
    <row r="37" spans="1:8" ht="26" x14ac:dyDescent="0.35">
      <c r="A37" s="15" t="s">
        <v>84</v>
      </c>
      <c r="B37" s="15" t="s">
        <v>90</v>
      </c>
      <c r="C37" s="16" t="s">
        <v>85</v>
      </c>
      <c r="D37" s="16" t="str">
        <f>CalcolaParents($A$3:C37)</f>
        <v>resendAllDetails</v>
      </c>
      <c r="E37" s="17" t="s">
        <v>32</v>
      </c>
      <c r="F37" s="16" t="str">
        <f t="shared" si="1"/>
        <v>Type: string
Allowed values: TSD,TSG,ERR,RNS</v>
      </c>
      <c r="G37" s="16" t="s">
        <v>211</v>
      </c>
      <c r="H37" s="15"/>
    </row>
    <row r="38" spans="1:8" ht="26" x14ac:dyDescent="0.35">
      <c r="A38" s="15" t="s">
        <v>30</v>
      </c>
      <c r="B38" s="15"/>
      <c r="C38" s="16" t="s">
        <v>92</v>
      </c>
      <c r="D38" s="16" t="str">
        <f>CalcolaParents($A$3:C38)</f>
        <v/>
      </c>
      <c r="E38" s="17" t="s">
        <v>52</v>
      </c>
      <c r="F38" s="16" t="str">
        <f t="shared" si="1"/>
        <v>Type: object</v>
      </c>
      <c r="G38" s="16" t="s">
        <v>212</v>
      </c>
      <c r="H38" s="15"/>
    </row>
    <row r="39" spans="1:8" ht="39" x14ac:dyDescent="0.35">
      <c r="A39" s="15" t="s">
        <v>237</v>
      </c>
      <c r="B39" s="15" t="s">
        <v>92</v>
      </c>
      <c r="C39" s="16" t="s">
        <v>54</v>
      </c>
      <c r="D39" s="16" t="str">
        <f>CalcolaParents($A$3:C39)</f>
        <v>agendaDetails</v>
      </c>
      <c r="E39" s="17" t="s">
        <v>32</v>
      </c>
      <c r="F39" s="16" t="str">
        <f t="shared" si="1"/>
        <v>Type: string
Length: 11
Pattern: 4!c2!a2!c3!c</v>
      </c>
      <c r="G39" s="16" t="s">
        <v>202</v>
      </c>
      <c r="H39" s="16" t="s">
        <v>239</v>
      </c>
    </row>
    <row r="40" spans="1:8" x14ac:dyDescent="0.35">
      <c r="A40" s="15" t="s">
        <v>30</v>
      </c>
      <c r="B40" s="15" t="s">
        <v>92</v>
      </c>
      <c r="C40" s="16" t="s">
        <v>93</v>
      </c>
      <c r="D40" s="16" t="str">
        <f>CalcolaParents($A$3:C40)</f>
        <v>agendaDetails</v>
      </c>
      <c r="E40" s="17" t="s">
        <v>32</v>
      </c>
      <c r="F40" s="16" t="str">
        <f t="shared" si="1"/>
        <v>Type: object</v>
      </c>
      <c r="G40" s="16"/>
      <c r="H40" s="15"/>
    </row>
    <row r="41" spans="1:8" ht="91" x14ac:dyDescent="0.35">
      <c r="A41" s="15" t="s">
        <v>94</v>
      </c>
      <c r="B41" s="15" t="s">
        <v>93</v>
      </c>
      <c r="C41" s="16" t="s">
        <v>95</v>
      </c>
      <c r="D41" s="16" t="str">
        <f>CalcolaParents($A$3:C41)</f>
        <v>agendaDetails_x000D_
+dailyThresholds</v>
      </c>
      <c r="E41" s="17" t="s">
        <v>32</v>
      </c>
      <c r="F41" s="16" t="str">
        <f t="shared" si="1"/>
        <v>Type: number
Min Value: 1
Max Value: 5</v>
      </c>
      <c r="G41" s="16" t="s">
        <v>223</v>
      </c>
      <c r="H41" s="15"/>
    </row>
    <row r="42" spans="1:8" ht="26" x14ac:dyDescent="0.35">
      <c r="A42" s="6" t="s">
        <v>96</v>
      </c>
      <c r="B42" s="6" t="s">
        <v>93</v>
      </c>
      <c r="C42" s="7" t="s">
        <v>96</v>
      </c>
      <c r="D42" s="7" t="str">
        <f>CalcolaParents($A$3:C42)</f>
        <v>agendaDetails_x000D_
+dailyThresholds</v>
      </c>
      <c r="E42" s="14" t="s">
        <v>32</v>
      </c>
      <c r="F42" s="7" t="str">
        <f t="shared" si="1"/>
        <v>Type: array
 Items type: object</v>
      </c>
    </row>
    <row r="43" spans="1:8" ht="39" x14ac:dyDescent="0.35">
      <c r="A43" s="6" t="s">
        <v>87</v>
      </c>
      <c r="B43" s="6" t="s">
        <v>96</v>
      </c>
      <c r="C43" s="7" t="s">
        <v>97</v>
      </c>
      <c r="D43" s="7" t="str">
        <f>CalcolaParents($A$3:C43)</f>
        <v>agendaDetails_x000D_
+dailyThresholds_x000D_
++lacAgenda</v>
      </c>
      <c r="E43" s="14" t="s">
        <v>32</v>
      </c>
      <c r="F43" s="7" t="str">
        <f t="shared" si="1"/>
        <v>Type: string</v>
      </c>
      <c r="G43" s="7" t="s">
        <v>224</v>
      </c>
    </row>
    <row r="44" spans="1:8" ht="39" x14ac:dyDescent="0.35">
      <c r="A44" s="13" t="s">
        <v>98</v>
      </c>
      <c r="B44" s="6" t="s">
        <v>96</v>
      </c>
      <c r="C44" s="7" t="s">
        <v>99</v>
      </c>
      <c r="D44" s="7" t="str">
        <f>CalcolaParents($A$3:C44)</f>
        <v>agendaDetails_x000D_
+dailyThresholds_x000D_
++lacAgenda</v>
      </c>
      <c r="E44" s="14" t="s">
        <v>32</v>
      </c>
      <c r="F44" s="7" t="str">
        <f t="shared" si="1"/>
        <v>Type: number
Max Value: 999999999999999</v>
      </c>
      <c r="G44" s="7" t="s">
        <v>233</v>
      </c>
      <c r="H44" s="13"/>
    </row>
    <row r="45" spans="1:8" ht="39" x14ac:dyDescent="0.35">
      <c r="A45" s="13" t="s">
        <v>98</v>
      </c>
      <c r="B45" s="6" t="s">
        <v>96</v>
      </c>
      <c r="C45" s="7" t="s">
        <v>101</v>
      </c>
      <c r="D45" s="7" t="str">
        <f>CalcolaParents($A$3:C45)</f>
        <v>agendaDetails_x000D_
+dailyThresholds_x000D_
++lacAgenda</v>
      </c>
      <c r="E45" s="14" t="s">
        <v>32</v>
      </c>
      <c r="F45" s="7" t="str">
        <f t="shared" si="1"/>
        <v>Type: number
Max Value: 999999999999999</v>
      </c>
      <c r="G45" s="7" t="s">
        <v>234</v>
      </c>
      <c r="H45" s="13"/>
    </row>
    <row r="46" spans="1:8" ht="39" x14ac:dyDescent="0.35">
      <c r="A46" s="13" t="s">
        <v>98</v>
      </c>
      <c r="B46" s="6" t="s">
        <v>96</v>
      </c>
      <c r="C46" s="7" t="s">
        <v>102</v>
      </c>
      <c r="D46" s="7" t="str">
        <f>CalcolaParents($A$3:C46)</f>
        <v>agendaDetails_x000D_
+dailyThresholds_x000D_
++lacAgenda</v>
      </c>
      <c r="E46" s="14" t="s">
        <v>32</v>
      </c>
      <c r="F46" s="7" t="str">
        <f t="shared" si="1"/>
        <v>Type: number
Max Value: 999999999999999</v>
      </c>
      <c r="G46" s="7" t="s">
        <v>235</v>
      </c>
      <c r="H46" s="13"/>
    </row>
    <row r="47" spans="1:8" ht="52" x14ac:dyDescent="0.35">
      <c r="A47" s="6" t="s">
        <v>103</v>
      </c>
      <c r="B47" s="6" t="s">
        <v>96</v>
      </c>
      <c r="C47" s="7" t="s">
        <v>104</v>
      </c>
      <c r="D47" s="7" t="str">
        <f>CalcolaParents($A$3:C47)</f>
        <v>agendaDetails_x000D_
+dailyThresholds_x000D_
++lacAgenda</v>
      </c>
      <c r="E47" s="14" t="s">
        <v>32</v>
      </c>
      <c r="F47" s="7" t="str">
        <f t="shared" si="1"/>
        <v>Type: boolean</v>
      </c>
      <c r="G47" s="7" t="s">
        <v>225</v>
      </c>
    </row>
    <row r="48" spans="1:8" ht="26" x14ac:dyDescent="0.35">
      <c r="A48" s="6" t="s">
        <v>30</v>
      </c>
      <c r="C48" s="7" t="s">
        <v>106</v>
      </c>
      <c r="D48" s="7" t="str">
        <f>CalcolaParents($A$3:C48)</f>
        <v/>
      </c>
      <c r="E48" s="14" t="s">
        <v>52</v>
      </c>
      <c r="F48" s="7" t="str">
        <f t="shared" si="1"/>
        <v>Type: object</v>
      </c>
      <c r="G48" s="7" t="s">
        <v>213</v>
      </c>
    </row>
    <row r="49" spans="1:8" ht="39" x14ac:dyDescent="0.35">
      <c r="A49" s="15" t="s">
        <v>237</v>
      </c>
      <c r="B49" s="15" t="s">
        <v>106</v>
      </c>
      <c r="C49" s="16" t="s">
        <v>54</v>
      </c>
      <c r="D49" s="16" t="str">
        <f>CalcolaParents($A$3:C49)</f>
        <v>calendarDetails</v>
      </c>
      <c r="E49" s="17" t="s">
        <v>32</v>
      </c>
      <c r="F49" s="16" t="str">
        <f t="shared" si="1"/>
        <v>Type: string
Length: 11
Pattern: 4!c2!a2!c3!c</v>
      </c>
      <c r="G49" s="16" t="s">
        <v>202</v>
      </c>
      <c r="H49" s="16" t="s">
        <v>239</v>
      </c>
    </row>
    <row r="50" spans="1:8" x14ac:dyDescent="0.35">
      <c r="A50" s="6" t="s">
        <v>30</v>
      </c>
      <c r="B50" s="6" t="s">
        <v>106</v>
      </c>
      <c r="C50" s="7" t="s">
        <v>93</v>
      </c>
      <c r="D50" s="7" t="str">
        <f>CalcolaParents($A$3:C50)</f>
        <v>calendarDetails</v>
      </c>
      <c r="E50" s="14" t="s">
        <v>32</v>
      </c>
      <c r="F50" s="7" t="str">
        <f t="shared" si="1"/>
        <v>Type: object</v>
      </c>
    </row>
    <row r="51" spans="1:8" ht="91" x14ac:dyDescent="0.35">
      <c r="A51" s="6" t="s">
        <v>94</v>
      </c>
      <c r="B51" s="6" t="s">
        <v>93</v>
      </c>
      <c r="C51" s="7" t="s">
        <v>95</v>
      </c>
      <c r="D51" s="7" t="str">
        <f>CalcolaParents($A$3:C51)</f>
        <v>calendarDetails_x000D_
+dailyThresholds</v>
      </c>
      <c r="E51" s="14" t="s">
        <v>32</v>
      </c>
      <c r="F51" s="7" t="str">
        <f t="shared" si="1"/>
        <v>Type: number
Min Value: 1
Max Value: 5</v>
      </c>
      <c r="G51" s="7" t="s">
        <v>223</v>
      </c>
    </row>
    <row r="52" spans="1:8" ht="26" x14ac:dyDescent="0.35">
      <c r="A52" s="6" t="s">
        <v>96</v>
      </c>
      <c r="B52" s="6" t="s">
        <v>93</v>
      </c>
      <c r="C52" s="7" t="s">
        <v>96</v>
      </c>
      <c r="D52" s="7" t="str">
        <f>CalcolaParents($A$3:C52)</f>
        <v>calendarDetails_x000D_
+dailyThresholds</v>
      </c>
      <c r="E52" s="14" t="s">
        <v>32</v>
      </c>
      <c r="F52" s="7" t="str">
        <f t="shared" si="1"/>
        <v>Type: array
 Items type: object</v>
      </c>
    </row>
    <row r="53" spans="1:8" ht="39" x14ac:dyDescent="0.35">
      <c r="A53" s="6" t="s">
        <v>87</v>
      </c>
      <c r="B53" s="6" t="s">
        <v>96</v>
      </c>
      <c r="C53" s="7" t="s">
        <v>97</v>
      </c>
      <c r="D53" s="7" t="str">
        <f>CalcolaParents($A$3:C53)</f>
        <v>calendarDetails_x000D_
+dailyThresholds_x000D_
++lacAgenda</v>
      </c>
      <c r="E53" s="14" t="s">
        <v>32</v>
      </c>
      <c r="F53" s="7" t="str">
        <f t="shared" si="1"/>
        <v>Type: string</v>
      </c>
      <c r="G53" s="7" t="s">
        <v>226</v>
      </c>
    </row>
    <row r="54" spans="1:8" ht="39" x14ac:dyDescent="0.35">
      <c r="A54" s="13" t="s">
        <v>98</v>
      </c>
      <c r="B54" s="6" t="s">
        <v>96</v>
      </c>
      <c r="C54" s="7" t="s">
        <v>99</v>
      </c>
      <c r="D54" s="7" t="str">
        <f>CalcolaParents($A$3:C54)</f>
        <v>calendarDetails_x000D_
+dailyThresholds_x000D_
++lacAgenda</v>
      </c>
      <c r="E54" s="14" t="s">
        <v>32</v>
      </c>
      <c r="F54" s="7" t="str">
        <f t="shared" si="1"/>
        <v>Type: number
Max Value: 999999999999999</v>
      </c>
      <c r="G54" s="7" t="s">
        <v>233</v>
      </c>
      <c r="H54" s="13"/>
    </row>
    <row r="55" spans="1:8" ht="39" x14ac:dyDescent="0.35">
      <c r="A55" s="13" t="s">
        <v>98</v>
      </c>
      <c r="B55" s="6" t="s">
        <v>96</v>
      </c>
      <c r="C55" s="7" t="s">
        <v>101</v>
      </c>
      <c r="D55" s="7" t="str">
        <f>CalcolaParents($A$3:C55)</f>
        <v>calendarDetails_x000D_
+dailyThresholds_x000D_
++lacAgenda</v>
      </c>
      <c r="E55" s="14" t="s">
        <v>32</v>
      </c>
      <c r="F55" s="7" t="str">
        <f t="shared" si="1"/>
        <v>Type: number
Max Value: 999999999999999</v>
      </c>
      <c r="G55" s="7" t="s">
        <v>234</v>
      </c>
      <c r="H55" s="13"/>
    </row>
    <row r="56" spans="1:8" ht="39" x14ac:dyDescent="0.35">
      <c r="A56" s="13" t="s">
        <v>98</v>
      </c>
      <c r="B56" s="6" t="s">
        <v>96</v>
      </c>
      <c r="C56" s="7" t="s">
        <v>102</v>
      </c>
      <c r="D56" s="7" t="str">
        <f>CalcolaParents($A$3:C56)</f>
        <v>calendarDetails_x000D_
+dailyThresholds_x000D_
++lacAgenda</v>
      </c>
      <c r="E56" s="14" t="s">
        <v>32</v>
      </c>
      <c r="F56" s="7" t="str">
        <f t="shared" si="1"/>
        <v>Type: number
Max Value: 999999999999999</v>
      </c>
      <c r="G56" s="7" t="s">
        <v>235</v>
      </c>
      <c r="H56" s="13"/>
    </row>
    <row r="57" spans="1:8" ht="52" x14ac:dyDescent="0.35">
      <c r="A57" s="6" t="s">
        <v>103</v>
      </c>
      <c r="B57" s="6" t="s">
        <v>96</v>
      </c>
      <c r="C57" s="7" t="s">
        <v>104</v>
      </c>
      <c r="D57" s="7" t="str">
        <f>CalcolaParents($A$3:C57)</f>
        <v>calendarDetails_x000D_
+dailyThresholds_x000D_
++lacAgenda</v>
      </c>
      <c r="E57" s="14" t="s">
        <v>32</v>
      </c>
      <c r="F57" s="7" t="str">
        <f t="shared" si="1"/>
        <v>Type: boolean</v>
      </c>
      <c r="G57" s="7" t="s">
        <v>225</v>
      </c>
    </row>
  </sheetData>
  <autoFilter ref="A2:G57"/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227</v>
      </c>
    </row>
    <row r="4" spans="1:8" x14ac:dyDescent="0.35">
      <c r="A4" s="6" t="s">
        <v>107</v>
      </c>
      <c r="C4" s="7" t="s">
        <v>108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228</v>
      </c>
    </row>
    <row r="5" spans="1:8" ht="26" x14ac:dyDescent="0.35">
      <c r="A5" s="6" t="s">
        <v>110</v>
      </c>
      <c r="C5" s="7" t="s">
        <v>111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229</v>
      </c>
    </row>
    <row r="6" spans="1:8" ht="26" x14ac:dyDescent="0.35">
      <c r="A6" s="6" t="s">
        <v>113</v>
      </c>
      <c r="C6" s="7" t="s">
        <v>114</v>
      </c>
      <c r="D6" s="7" t="str">
        <f>CalcolaParents($A$3:C6)</f>
        <v/>
      </c>
      <c r="E6" s="7" t="s">
        <v>52</v>
      </c>
      <c r="F6" s="7" t="str">
        <f>FormattaTipo(A6)</f>
        <v>Type: string
Max Length: 36</v>
      </c>
      <c r="G6" s="7" t="s">
        <v>230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236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032041FEC92545816E08736C332003" ma:contentTypeVersion="16" ma:contentTypeDescription="Create a new document." ma:contentTypeScope="" ma:versionID="fef1197d7107a73c97bdd25f97397299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f00d98624ac83471ef578dc189b3ac7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Tag immagine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7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AED001-9B66-4A89-8052-DF0E2EE9D508}">
  <ds:schemaRefs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d5d17fec-860f-4c53-bc48-b8d2395d3119"/>
    <ds:schemaRef ds:uri="c2729170-ca00-465d-a27c-f75d491ce117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439E6B7-348F-4110-A907-84F38088A1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604C95-66E7-43B5-B74E-DFE7019F776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2025-06-25T10:12:01Z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d739695f-118d-4780-9df1-eae9023c9cca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2023-05-11T15:14:21Z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beeddf99-cb24-47d2-a0a5-5f19afe66cd2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6252000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