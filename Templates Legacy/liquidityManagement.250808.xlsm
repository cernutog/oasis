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christianiabpos.sharepoint.com/sites/S00051/Shared Documents/EBA_CL/Ext_Docs/API Interface Management/templates/CGS-DKK/Participants/Q12026/"/>
    </mc:Choice>
  </mc:AlternateContent>
  <xr:revisionPtr revIDLastSave="0" documentId="11_317C4B0537EDC5EB9053A82620493DD10E13D7A8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9"/>
  <definedNames>
    <definedName name="_xlnm._FilterDatabase" localSheetId="0" hidden="1">'Data Type'!$A$2:$K$2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2" l="1"/>
  <c r="D3" i="31"/>
  <c r="F6" i="31"/>
  <c r="F3" i="34"/>
  <c r="D3" i="17"/>
  <c r="F3" i="31"/>
  <c r="D3" i="32"/>
  <c r="D4" i="32"/>
  <c r="F4" i="31"/>
  <c r="D4" i="31"/>
  <c r="F4" i="34"/>
  <c r="F5" i="34"/>
  <c r="F5" i="31"/>
  <c r="F6" i="34"/>
  <c r="D3" i="34"/>
  <c r="F4" i="32"/>
  <c r="D4" i="34"/>
  <c r="D5" i="34" l="1"/>
  <c r="D6" i="34" s="1"/>
  <c r="D5" i="31"/>
  <c r="D6" i="31" s="1"/>
</calcChain>
</file>

<file path=xl/sharedStrings.xml><?xml version="1.0" encoding="utf-8"?>
<sst xmlns="http://schemas.openxmlformats.org/spreadsheetml/2006/main" count="449" uniqueCount="232">
  <si>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</si>
  <si>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</si>
  <si>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</si>
  <si>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</si>
  <si>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</si>
  <si>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</si>
  <si>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</si>
  <si>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</si>
  <si>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</si>
  <si>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</si>
  <si>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</si>
  <si>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</si>
  <si>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</si>
  <si>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</si>
  <si>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</si>
  <si>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</si>
  <si>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</si>
  <si>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</si>
  <si>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</si>
  <si>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</si>
  <si>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</si>
  <si>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</si>
  <si>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</si>
  <si>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</si>
  <si>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</si>
  <si>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</si>
  <si>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</si>
  <si>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</si>
  <si>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</si>
  <si>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</si>
  <si>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</si>
  <si>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</si>
  <si>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</si>
  <si>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</si>
  <si>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</si>
  <si>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</si>
  <si>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</si>
  <si>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</si>
  <si>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</si>
  <si>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</si>
  <si>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</si>
  <si>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Amount</t>
  </si>
  <si>
    <t>amount</t>
  </si>
  <si>
    <t>Standard Amount</t>
  </si>
  <si>
    <t>TransferType</t>
  </si>
  <si>
    <t>transferTp</t>
  </si>
  <si>
    <t>availableLiquidity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</si>
  <si>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</si>
  <si>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</si>
  <si>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</si>
  <si>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</si>
  <si>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</si>
  <si>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</si>
  <si>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</si>
  <si>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</si>
  <si>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</si>
  <si>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</si>
  <si>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</si>
  <si>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</si>
  <si>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</si>
  <si>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</si>
  <si>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</si>
  <si>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</si>
  <si>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</si>
  <si>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</si>
  <si>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</si>
  <si>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</si>
  <si>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</si>
  <si>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</si>
  <si>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</si>
  <si>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</si>
  <si>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</si>
  <si>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</si>
  <si>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</si>
  <si>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</si>
  <si>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</si>
  <si>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</si>
  <si>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</si>
  <si>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</si>
  <si>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</si>
  <si>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</si>
  <si>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</si>
  <si>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</si>
  <si>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</si>
  <si>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</si>
  <si>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</si>
  <si>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</si>
  <si>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</si>
  <si>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</si>
  <si>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</si>
  <si>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</si>
  <si>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</si>
  <si>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</si>
  <si>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</si>
  <si>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</si>
  <si>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</si>
  <si>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</si>
  <si>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</si>
  <si>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</si>
  <si>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</si>
  <si>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</si>
  <si>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</si>
  <si>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</si>
  <si>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</si>
  <si>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</si>
  <si>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</si>
  <si>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</si>
  <si>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</si>
  <si>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</si>
  <si>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</si>
  <si>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</si>
  <si>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</si>
  <si>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</si>
  <si>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</si>
  <si>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</si>
  <si>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</si>
  <si>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</si>
  <si>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</si>
  <si>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</si>
  <si>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</si>
  <si>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</si>
  <si>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</si>
  <si>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</si>
  <si>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</si>
  <si>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</si>
  <si>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</si>
  <si>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</si>
  <si>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</si>
  <si>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</si>
  <si>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</si>
  <si>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</si>
  <si>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</si>
  <si>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</si>
  <si>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</si>
  <si>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</si>
  <si>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</si>
  <si>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</si>
  <si>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</si>
  <si>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</si>
  <si>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</si>
  <si>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</si>
  <si>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</si>
  <si>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</si>
  <si>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</si>
  <si>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</si>
  <si>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</si>
  <si>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</si>
  <si>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</si>
  <si>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</si>
  <si>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</si>
  <si>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</si>
  <si>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</si>
  <si>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</si>
  <si>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</si>
  <si>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</si>
  <si>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</si>
  <si>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</si>
  <si>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</si>
  <si>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F,D</t>
  </si>
  <si>
    <t>Validation Rules</t>
  </si>
  <si>
    <t>The BIC sending the request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</si>
  <si>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</si>
  <si>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</si>
  <si>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</si>
  <si>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</si>
  <si>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The date and time of the API Request</t>
  </si>
  <si>
    <t>The STEP2 Settlement BIC owning liquidity position in CGS</t>
  </si>
  <si>
    <t>Amount to be funded or defunded according to transferTp</t>
  </si>
  <si>
    <t>Value allowed:
F (request for funding)
D (defunding)</t>
  </si>
  <si>
    <t>It must be a valid code
(errorCode SC01)</t>
  </si>
  <si>
    <t>999999999999999.99</t>
  </si>
  <si>
    <t>Track Changes</t>
  </si>
  <si>
    <t>Bic11Only</t>
  </si>
  <si>
    <t>11</t>
  </si>
  <si>
    <t>[20211223] - (SS)
CR3996 added field</t>
  </si>
  <si>
    <t>[220615] - (SS) Added clarification</t>
  </si>
  <si>
    <t>[220630] - (SS) Added NTD rule- CR3985</t>
  </si>
  <si>
    <t>It must be equal to the BIC of the DP certificate (errorCode XA02) 
Sending DP must not have status “Disabled” or “Changed” (errorCode PY01)
Sending DP must correspond to a Preferred Agent enabled in the CGS Routing Table (errorCode PY01)
Funding and Defunding commands will not be available during Non-Target days according to TAW management. (errorCode XA25)</t>
  </si>
  <si>
    <t>The available liquidity.
In case of defunding operations, the amount is calculated starting from the current amount minus the defunding amount in the request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</si>
  <si>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</si>
  <si>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</si>
  <si>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</si>
  <si>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</si>
  <si>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</si>
  <si>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</si>
  <si>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The Position must be greater than or equal to the Amount 
(errorCode XA05)
The Amount cannot be greater than 999999999999.99
(errorCode XA05)
The Amount cannot be equal to 0
(errorCode XA05)
Only decimal notation is allowed
(errorCode XA05)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</si>
  <si>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</si>
  <si>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</si>
  <si>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</si>
  <si>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</si>
  <si>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</si>
  <si>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</si>
  <si>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</si>
  <si>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</si>
  <si>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</si>
  <si>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</si>
  <si>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</si>
  <si>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</si>
  <si>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</si>
  <si>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</si>
  <si>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</si>
  <si>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</si>
  <si>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</si>
  <si>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</si>
  <si>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</si>
  <si>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</si>
  <si>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</si>
  <si>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</si>
  <si>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</si>
  <si>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</si>
  <si>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</si>
  <si>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</si>
  <si>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</si>
  <si>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</si>
  <si>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</si>
  <si>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</si>
  <si>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</si>
  <si>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</si>
  <si>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</si>
  <si>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</si>
  <si>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</si>
  <si>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</si>
  <si>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</si>
  <si>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</si>
  <si>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</si>
  <si>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</si>
  <si>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</si>
  <si>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</si>
  <si>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</si>
  <si>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</si>
  <si>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r>
      <t xml:space="preserve">It must correspond to one of the settlement BIC configured for the senderBIC, corresponding to the Preferred Agent (errorCode PY01)
</t>
    </r>
    <r>
      <rPr>
        <sz val="10"/>
        <color rgb="FFFF0000"/>
        <rFont val="Calibri"/>
        <family val="2"/>
        <scheme val="minor"/>
      </rPr>
      <t>DPWS users whose Settlement BIC has been suspended are not allowed to defund their liquidity</t>
    </r>
  </si>
  <si>
    <r>
      <t xml:space="preserve">[20211223] - (SS)
CR3996 modified field
</t>
    </r>
    <r>
      <rPr>
        <sz val="10"/>
        <color rgb="FFFF0000"/>
        <rFont val="Calibri"/>
        <family val="2"/>
        <scheme val="minor"/>
      </rPr>
      <t>[250806 - FDM] Errata 10863: added condition for “Suspended” Settlement BIC.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</si>
</sst>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164" fontId="1" fillId="0" borderId="0" applyFont="0" applyFill="0" applyBorder="0" applyAlignment="0" applyProtection="0"/>
  </cellStyleXfs>
  <cellXfs count="22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ill="1" applyBorder="1" applyAlignment="1">
      <alignment vertical="top" wrapText="1"/>
    </xf>
    <xf numFmtId="49" fontId="3" fillId="3" borderId="3" xfId="3" applyNumberFormat="1" applyFill="1" applyBorder="1" applyAlignment="1">
      <alignment horizontal="left" vertical="top" wrapText="1"/>
    </xf>
    <xf numFmtId="0" fontId="3" fillId="3" borderId="3" xfId="3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5">
    <cellStyle name="Comma" xfId="1" builtinId="3"/>
    <cellStyle name="Heading 1" xfId="2" builtinId="16"/>
    <cellStyle name="Heading 3" xfId="3" builtinId="18"/>
    <cellStyle name="Migliaia 2" xfId="4" xr:uid="{00000000-0005-0000-0000-000001000000}"/>
    <cellStyle name="Normal" xfId="0" builtinId="0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tabColor theme="7" tint="0.59999389629810485"/>
  </sheetPr>
  <dimension ref="A1:L46"/>
  <sheetViews>
    <sheetView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140625" defaultRowHeight="12.75" x14ac:dyDescent="0.25"/>
  <cols>
    <col min="1" max="1" width="20.85546875" style="8" customWidth="1"/>
    <col min="2" max="2" width="23" style="8" customWidth="1"/>
    <col min="3" max="4" width="8.140625" style="8" customWidth="1"/>
    <col min="5" max="5" width="20.85546875" style="8" customWidth="1"/>
    <col min="6" max="7" width="18.140625" style="11" bestFit="1" customWidth="1"/>
    <col min="8" max="8" width="33.140625" style="8" customWidth="1"/>
    <col min="9" max="9" width="65.140625" style="8" bestFit="1" customWidth="1"/>
    <col min="10" max="10" width="16.5703125" style="8" customWidth="1"/>
    <col min="11" max="11" width="34.42578125" style="8" customWidth="1"/>
    <col min="12" max="12" width="20.85546875" style="8" customWidth="1"/>
    <col min="13" max="16384" width="9.140625" style="8"/>
  </cols>
  <sheetData>
    <row r="1" spans="1:12" ht="19.5" customHeight="1" x14ac:dyDescent="0.25">
      <c r="B1" s="17" t="s">
        <v>8</v>
      </c>
      <c r="C1" s="17"/>
      <c r="D1" s="17"/>
      <c r="E1" s="17"/>
      <c r="F1" s="17"/>
      <c r="G1" s="17"/>
      <c r="H1" s="17"/>
      <c r="I1" s="17"/>
      <c r="J1" s="17"/>
      <c r="K1" s="18"/>
    </row>
    <row r="2" spans="1:12" s="10" customFormat="1" ht="45" x14ac:dyDescent="0.25">
      <c r="A2" s="9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9" t="s">
        <v>171</v>
      </c>
    </row>
    <row r="3" spans="1:12" ht="25.5" x14ac:dyDescent="0.25">
      <c r="A3" s="8" t="s">
        <v>41</v>
      </c>
      <c r="B3" s="8" t="s">
        <v>43</v>
      </c>
      <c r="C3" s="8" t="s">
        <v>98</v>
      </c>
      <c r="D3" s="8" t="s">
        <v>99</v>
      </c>
      <c r="G3" s="11" t="s">
        <v>170</v>
      </c>
      <c r="H3" s="8" t="s">
        <v>59</v>
      </c>
      <c r="J3" s="8" t="s">
        <v>59</v>
      </c>
      <c r="K3" s="8" t="s">
        <v>186</v>
      </c>
    </row>
    <row r="4" spans="1:12" x14ac:dyDescent="0.25">
      <c r="A4" s="8" t="s">
        <v>29</v>
      </c>
      <c r="B4" s="8" t="s">
        <v>59</v>
      </c>
      <c r="C4" s="8" t="s">
        <v>29</v>
      </c>
      <c r="E4" s="8" t="s">
        <v>30</v>
      </c>
      <c r="J4" s="8" t="s">
        <v>59</v>
      </c>
      <c r="K4" s="8" t="s">
        <v>59</v>
      </c>
    </row>
    <row r="5" spans="1:12" ht="25.5" x14ac:dyDescent="0.25">
      <c r="A5" s="8" t="s">
        <v>37</v>
      </c>
      <c r="B5" s="8" t="s">
        <v>40</v>
      </c>
      <c r="C5" s="8" t="s">
        <v>58</v>
      </c>
      <c r="H5" s="8" t="s">
        <v>179</v>
      </c>
      <c r="I5" s="8" t="s">
        <v>180</v>
      </c>
      <c r="J5" s="8" t="s">
        <v>59</v>
      </c>
      <c r="K5" s="8" t="s">
        <v>187</v>
      </c>
    </row>
    <row r="6" spans="1:12" s="13" customFormat="1" ht="25.5" x14ac:dyDescent="0.25">
      <c r="A6" s="13" t="s">
        <v>172</v>
      </c>
      <c r="B6" s="14"/>
      <c r="C6" s="13" t="s">
        <v>58</v>
      </c>
      <c r="D6" s="14"/>
      <c r="E6" s="14"/>
      <c r="F6" s="15" t="s">
        <v>173</v>
      </c>
      <c r="G6" s="15" t="s">
        <v>173</v>
      </c>
      <c r="H6" s="13" t="s">
        <v>181</v>
      </c>
      <c r="I6" s="13" t="s">
        <v>182</v>
      </c>
      <c r="J6" s="14"/>
      <c r="K6" s="13" t="s">
        <v>188</v>
      </c>
      <c r="L6" s="12" t="s">
        <v>174</v>
      </c>
    </row>
    <row r="7" spans="1:12" ht="25.5" x14ac:dyDescent="0.25">
      <c r="A7" s="8" t="s">
        <v>69</v>
      </c>
      <c r="B7" s="8" t="s">
        <v>70</v>
      </c>
      <c r="C7" s="8" t="s">
        <v>58</v>
      </c>
      <c r="H7" s="8" t="s">
        <v>183</v>
      </c>
      <c r="I7" s="8" t="s">
        <v>184</v>
      </c>
      <c r="J7" s="8" t="s">
        <v>59</v>
      </c>
      <c r="K7" s="8" t="s">
        <v>189</v>
      </c>
    </row>
    <row r="8" spans="1:12" x14ac:dyDescent="0.25">
      <c r="A8" s="8" t="s">
        <v>116</v>
      </c>
      <c r="B8" s="8" t="s">
        <v>117</v>
      </c>
      <c r="C8" s="8" t="s">
        <v>118</v>
      </c>
      <c r="H8" s="8" t="s">
        <v>59</v>
      </c>
      <c r="J8" s="8" t="s">
        <v>59</v>
      </c>
      <c r="K8" s="8" t="s">
        <v>190</v>
      </c>
    </row>
    <row r="9" spans="1:12" ht="76.5" x14ac:dyDescent="0.25">
      <c r="A9" s="8" t="s">
        <v>107</v>
      </c>
      <c r="B9" s="8" t="s">
        <v>108</v>
      </c>
      <c r="C9" s="8" t="s">
        <v>58</v>
      </c>
      <c r="I9" s="8" t="s">
        <v>109</v>
      </c>
      <c r="J9" s="8" t="s">
        <v>59</v>
      </c>
      <c r="K9" s="8" t="s">
        <v>191</v>
      </c>
    </row>
    <row r="10" spans="1:12" ht="25.5" x14ac:dyDescent="0.25">
      <c r="A10" s="8" t="s">
        <v>119</v>
      </c>
      <c r="B10" s="8" t="s">
        <v>120</v>
      </c>
      <c r="C10" s="8" t="s">
        <v>58</v>
      </c>
      <c r="G10" s="11" t="s">
        <v>121</v>
      </c>
      <c r="H10" s="8" t="s">
        <v>59</v>
      </c>
      <c r="J10" s="8" t="s">
        <v>59</v>
      </c>
      <c r="K10" s="8" t="s">
        <v>192</v>
      </c>
    </row>
    <row r="11" spans="1:12" ht="38.25" x14ac:dyDescent="0.25">
      <c r="A11" s="8" t="s">
        <v>125</v>
      </c>
      <c r="B11" s="8" t="s">
        <v>126</v>
      </c>
      <c r="C11" s="8" t="s">
        <v>58</v>
      </c>
      <c r="H11" s="8" t="s">
        <v>59</v>
      </c>
      <c r="J11" s="8" t="s">
        <v>127</v>
      </c>
      <c r="K11" s="8" t="s">
        <v>193</v>
      </c>
    </row>
    <row r="12" spans="1:12" ht="25.5" x14ac:dyDescent="0.25">
      <c r="A12" s="8" t="s">
        <v>122</v>
      </c>
      <c r="B12" s="8" t="s">
        <v>123</v>
      </c>
      <c r="C12" s="8" t="s">
        <v>58</v>
      </c>
      <c r="H12" s="8" t="s">
        <v>59</v>
      </c>
      <c r="J12" s="8" t="s">
        <v>124</v>
      </c>
      <c r="K12" s="8" t="s">
        <v>194</v>
      </c>
    </row>
    <row r="13" spans="1:12" x14ac:dyDescent="0.25">
      <c r="A13" s="8" t="s">
        <v>71</v>
      </c>
      <c r="B13" s="8" t="s">
        <v>72</v>
      </c>
      <c r="C13" s="8" t="s">
        <v>58</v>
      </c>
      <c r="H13" s="8" t="s">
        <v>73</v>
      </c>
      <c r="I13" s="8" t="s">
        <v>74</v>
      </c>
      <c r="J13" s="8" t="s">
        <v>59</v>
      </c>
      <c r="K13" s="8" t="s">
        <v>229</v>
      </c>
    </row>
    <row r="14" spans="1:12" ht="38.25" x14ac:dyDescent="0.25">
      <c r="A14" s="8" t="s">
        <v>34</v>
      </c>
      <c r="B14" s="8" t="s">
        <v>36</v>
      </c>
      <c r="C14" s="8" t="s">
        <v>58</v>
      </c>
      <c r="H14" s="8" t="s">
        <v>75</v>
      </c>
      <c r="I14" s="8" t="s">
        <v>76</v>
      </c>
      <c r="J14" s="8" t="s">
        <v>59</v>
      </c>
      <c r="K14" s="8" t="s">
        <v>195</v>
      </c>
    </row>
    <row r="15" spans="1:12" x14ac:dyDescent="0.25">
      <c r="A15" s="8" t="s">
        <v>144</v>
      </c>
      <c r="B15" s="8" t="s">
        <v>59</v>
      </c>
      <c r="C15" s="8" t="s">
        <v>98</v>
      </c>
      <c r="F15" s="11" t="s">
        <v>145</v>
      </c>
      <c r="G15" s="11" t="s">
        <v>146</v>
      </c>
      <c r="H15" s="8" t="s">
        <v>59</v>
      </c>
      <c r="J15" s="8" t="s">
        <v>59</v>
      </c>
      <c r="K15" s="8" t="s">
        <v>196</v>
      </c>
    </row>
    <row r="16" spans="1:12" x14ac:dyDescent="0.25">
      <c r="A16" s="8" t="s">
        <v>47</v>
      </c>
      <c r="B16" s="8" t="s">
        <v>49</v>
      </c>
      <c r="C16" s="8" t="s">
        <v>58</v>
      </c>
      <c r="I16" s="8" t="s">
        <v>94</v>
      </c>
      <c r="J16" s="8" t="s">
        <v>59</v>
      </c>
      <c r="K16" s="8" t="s">
        <v>197</v>
      </c>
    </row>
    <row r="17" spans="1:11" ht="25.5" x14ac:dyDescent="0.25">
      <c r="A17" s="8" t="s">
        <v>50</v>
      </c>
      <c r="B17" s="8" t="s">
        <v>52</v>
      </c>
      <c r="C17" s="8" t="s">
        <v>58</v>
      </c>
      <c r="G17" s="11" t="s">
        <v>95</v>
      </c>
      <c r="H17" s="8" t="s">
        <v>59</v>
      </c>
      <c r="J17" s="8" t="s">
        <v>59</v>
      </c>
      <c r="K17" s="8" t="s">
        <v>198</v>
      </c>
    </row>
    <row r="18" spans="1:11" ht="38.25" x14ac:dyDescent="0.25">
      <c r="A18" s="8" t="s">
        <v>131</v>
      </c>
      <c r="B18" s="8" t="s">
        <v>132</v>
      </c>
      <c r="C18" s="8" t="s">
        <v>58</v>
      </c>
      <c r="G18" s="11" t="s">
        <v>133</v>
      </c>
      <c r="H18" s="8" t="s">
        <v>59</v>
      </c>
      <c r="J18" s="8" t="s">
        <v>59</v>
      </c>
      <c r="K18" s="8" t="s">
        <v>199</v>
      </c>
    </row>
    <row r="19" spans="1:11" ht="25.5" x14ac:dyDescent="0.25">
      <c r="A19" s="8" t="s">
        <v>128</v>
      </c>
      <c r="B19" s="8" t="s">
        <v>129</v>
      </c>
      <c r="C19" s="8" t="s">
        <v>58</v>
      </c>
      <c r="H19" s="8" t="s">
        <v>59</v>
      </c>
      <c r="J19" s="8" t="s">
        <v>130</v>
      </c>
      <c r="K19" s="8" t="s">
        <v>200</v>
      </c>
    </row>
    <row r="20" spans="1:11" ht="63.75" x14ac:dyDescent="0.25">
      <c r="A20" s="8" t="s">
        <v>83</v>
      </c>
      <c r="B20" s="8" t="s">
        <v>223</v>
      </c>
      <c r="C20" s="8" t="s">
        <v>58</v>
      </c>
      <c r="H20" s="8" t="s">
        <v>84</v>
      </c>
      <c r="I20" s="8" t="s">
        <v>85</v>
      </c>
      <c r="J20" s="8" t="s">
        <v>59</v>
      </c>
      <c r="K20" s="8" t="s">
        <v>201</v>
      </c>
    </row>
    <row r="21" spans="1:11" x14ac:dyDescent="0.25">
      <c r="A21" s="8" t="s">
        <v>86</v>
      </c>
      <c r="B21" s="8" t="s">
        <v>87</v>
      </c>
      <c r="C21" s="8" t="s">
        <v>58</v>
      </c>
      <c r="H21" s="8" t="s">
        <v>59</v>
      </c>
      <c r="J21" s="8" t="s">
        <v>88</v>
      </c>
      <c r="K21" s="8" t="s">
        <v>202</v>
      </c>
    </row>
    <row r="22" spans="1:11" x14ac:dyDescent="0.25">
      <c r="A22" s="8" t="s">
        <v>80</v>
      </c>
      <c r="B22" s="8" t="s">
        <v>81</v>
      </c>
      <c r="C22" s="8" t="s">
        <v>58</v>
      </c>
      <c r="H22" s="8" t="s">
        <v>59</v>
      </c>
      <c r="J22" s="8" t="s">
        <v>82</v>
      </c>
      <c r="K22" s="8" t="s">
        <v>203</v>
      </c>
    </row>
    <row r="23" spans="1:11" ht="38.25" x14ac:dyDescent="0.25">
      <c r="A23" s="8" t="s">
        <v>63</v>
      </c>
      <c r="B23" s="8" t="s">
        <v>64</v>
      </c>
      <c r="C23" s="8" t="s">
        <v>58</v>
      </c>
      <c r="G23" s="11" t="s">
        <v>65</v>
      </c>
      <c r="H23" s="8" t="s">
        <v>59</v>
      </c>
      <c r="J23" s="8" t="s">
        <v>59</v>
      </c>
      <c r="K23" s="8" t="s">
        <v>204</v>
      </c>
    </row>
    <row r="24" spans="1:11" x14ac:dyDescent="0.25">
      <c r="A24" s="8" t="s">
        <v>66</v>
      </c>
      <c r="B24" s="8" t="s">
        <v>67</v>
      </c>
      <c r="C24" s="8" t="s">
        <v>58</v>
      </c>
      <c r="H24" s="8" t="s">
        <v>59</v>
      </c>
      <c r="J24" s="8" t="s">
        <v>68</v>
      </c>
      <c r="K24" s="8" t="s">
        <v>205</v>
      </c>
    </row>
    <row r="25" spans="1:11" x14ac:dyDescent="0.25">
      <c r="A25" s="8" t="s">
        <v>56</v>
      </c>
      <c r="B25" s="8" t="s">
        <v>57</v>
      </c>
      <c r="C25" s="8" t="s">
        <v>58</v>
      </c>
      <c r="H25" s="8" t="s">
        <v>59</v>
      </c>
      <c r="J25" s="8" t="s">
        <v>60</v>
      </c>
      <c r="K25" s="8" t="s">
        <v>206</v>
      </c>
    </row>
    <row r="26" spans="1:11" ht="25.5" x14ac:dyDescent="0.25">
      <c r="A26" s="8" t="s">
        <v>61</v>
      </c>
      <c r="B26" s="8" t="s">
        <v>57</v>
      </c>
      <c r="C26" s="8" t="s">
        <v>58</v>
      </c>
      <c r="H26" s="8" t="s">
        <v>59</v>
      </c>
      <c r="J26" s="8" t="s">
        <v>62</v>
      </c>
      <c r="K26" s="8" t="s">
        <v>207</v>
      </c>
    </row>
    <row r="27" spans="1:11" ht="25.5" x14ac:dyDescent="0.25">
      <c r="A27" s="8" t="s">
        <v>137</v>
      </c>
      <c r="B27" s="8" t="s">
        <v>138</v>
      </c>
      <c r="C27" s="8" t="s">
        <v>58</v>
      </c>
      <c r="I27" s="8" t="s">
        <v>139</v>
      </c>
      <c r="J27" s="8" t="s">
        <v>59</v>
      </c>
      <c r="K27" s="8" t="s">
        <v>208</v>
      </c>
    </row>
    <row r="28" spans="1:11" ht="25.5" x14ac:dyDescent="0.25">
      <c r="A28" s="8" t="s">
        <v>140</v>
      </c>
      <c r="B28" s="8" t="s">
        <v>141</v>
      </c>
      <c r="C28" s="8" t="s">
        <v>58</v>
      </c>
      <c r="H28" s="8" t="s">
        <v>59</v>
      </c>
      <c r="J28" s="8" t="s">
        <v>142</v>
      </c>
      <c r="K28" s="8" t="s">
        <v>209</v>
      </c>
    </row>
    <row r="29" spans="1:11" ht="25.5" x14ac:dyDescent="0.25">
      <c r="A29" s="8" t="s">
        <v>104</v>
      </c>
      <c r="B29" s="8" t="s">
        <v>105</v>
      </c>
      <c r="C29" s="8" t="s">
        <v>58</v>
      </c>
      <c r="H29" s="8" t="s">
        <v>59</v>
      </c>
      <c r="J29" s="8" t="s">
        <v>106</v>
      </c>
      <c r="K29" s="8" t="s">
        <v>210</v>
      </c>
    </row>
    <row r="30" spans="1:11" x14ac:dyDescent="0.25">
      <c r="A30" s="8" t="s">
        <v>152</v>
      </c>
      <c r="B30" s="8" t="s">
        <v>59</v>
      </c>
      <c r="C30" s="8" t="s">
        <v>58</v>
      </c>
      <c r="H30" s="8" t="s">
        <v>59</v>
      </c>
      <c r="J30" s="8" t="s">
        <v>153</v>
      </c>
      <c r="K30" s="8" t="s">
        <v>153</v>
      </c>
    </row>
    <row r="31" spans="1:11" ht="25.5" x14ac:dyDescent="0.25">
      <c r="A31" s="8" t="s">
        <v>92</v>
      </c>
      <c r="B31" s="8" t="s">
        <v>93</v>
      </c>
      <c r="C31" s="8" t="s">
        <v>58</v>
      </c>
      <c r="H31" s="8" t="s">
        <v>59</v>
      </c>
      <c r="J31" s="8" t="s">
        <v>224</v>
      </c>
      <c r="K31" s="8" t="s">
        <v>225</v>
      </c>
    </row>
    <row r="32" spans="1:11" ht="38.25" x14ac:dyDescent="0.25">
      <c r="A32" s="8" t="s">
        <v>89</v>
      </c>
      <c r="B32" s="8" t="s">
        <v>90</v>
      </c>
      <c r="C32" s="8" t="s">
        <v>58</v>
      </c>
      <c r="I32" s="8" t="s">
        <v>91</v>
      </c>
      <c r="J32" s="8" t="s">
        <v>59</v>
      </c>
      <c r="K32" s="8" t="s">
        <v>226</v>
      </c>
    </row>
    <row r="33" spans="1:11" x14ac:dyDescent="0.25">
      <c r="A33" s="8" t="s">
        <v>100</v>
      </c>
      <c r="B33" s="8" t="s">
        <v>101</v>
      </c>
      <c r="C33" s="8" t="s">
        <v>98</v>
      </c>
      <c r="D33" s="8" t="s">
        <v>102</v>
      </c>
      <c r="G33" s="11" t="s">
        <v>103</v>
      </c>
      <c r="H33" s="8" t="s">
        <v>59</v>
      </c>
      <c r="J33" s="8" t="s">
        <v>59</v>
      </c>
      <c r="K33" s="8" t="s">
        <v>211</v>
      </c>
    </row>
    <row r="34" spans="1:11" x14ac:dyDescent="0.25">
      <c r="A34" s="8" t="s">
        <v>30</v>
      </c>
      <c r="B34" s="8" t="s">
        <v>59</v>
      </c>
      <c r="C34" s="8" t="s">
        <v>30</v>
      </c>
      <c r="J34" s="8" t="s">
        <v>59</v>
      </c>
      <c r="K34" s="8" t="s">
        <v>59</v>
      </c>
    </row>
    <row r="35" spans="1:11" ht="38.25" x14ac:dyDescent="0.25">
      <c r="A35" s="8" t="s">
        <v>96</v>
      </c>
      <c r="B35" s="8" t="s">
        <v>97</v>
      </c>
      <c r="C35" s="8" t="s">
        <v>58</v>
      </c>
      <c r="H35" s="8" t="s">
        <v>59</v>
      </c>
      <c r="J35" s="8" t="s">
        <v>59</v>
      </c>
      <c r="K35" s="8" t="s">
        <v>212</v>
      </c>
    </row>
    <row r="36" spans="1:11" ht="51" x14ac:dyDescent="0.25">
      <c r="A36" s="8" t="s">
        <v>135</v>
      </c>
      <c r="B36" s="8" t="s">
        <v>136</v>
      </c>
      <c r="C36" s="8" t="s">
        <v>58</v>
      </c>
      <c r="G36" s="11" t="s">
        <v>65</v>
      </c>
      <c r="H36" s="8" t="s">
        <v>59</v>
      </c>
      <c r="J36" s="8" t="s">
        <v>59</v>
      </c>
      <c r="K36" s="8" t="s">
        <v>213</v>
      </c>
    </row>
    <row r="37" spans="1:11" ht="25.5" x14ac:dyDescent="0.25">
      <c r="A37" s="8" t="s">
        <v>110</v>
      </c>
      <c r="B37" s="8" t="s">
        <v>111</v>
      </c>
      <c r="C37" s="8" t="s">
        <v>58</v>
      </c>
      <c r="I37" s="8" t="s">
        <v>112</v>
      </c>
      <c r="J37" s="8" t="s">
        <v>59</v>
      </c>
      <c r="K37" s="8" t="s">
        <v>214</v>
      </c>
    </row>
    <row r="38" spans="1:11" ht="25.5" x14ac:dyDescent="0.25">
      <c r="A38" s="8" t="s">
        <v>113</v>
      </c>
      <c r="B38" s="8" t="s">
        <v>114</v>
      </c>
      <c r="C38" s="8" t="s">
        <v>58</v>
      </c>
      <c r="H38" s="8" t="s">
        <v>59</v>
      </c>
      <c r="J38" s="8" t="s">
        <v>115</v>
      </c>
      <c r="K38" s="8" t="s">
        <v>215</v>
      </c>
    </row>
    <row r="39" spans="1:11" ht="76.5" x14ac:dyDescent="0.25">
      <c r="A39" s="8" t="s">
        <v>53</v>
      </c>
      <c r="B39" s="8" t="s">
        <v>55</v>
      </c>
      <c r="C39" s="8" t="s">
        <v>58</v>
      </c>
      <c r="G39" s="11" t="s">
        <v>134</v>
      </c>
      <c r="H39" s="8" t="s">
        <v>59</v>
      </c>
      <c r="J39" s="8" t="s">
        <v>59</v>
      </c>
      <c r="K39" s="8" t="s">
        <v>216</v>
      </c>
    </row>
    <row r="40" spans="1:11" x14ac:dyDescent="0.25">
      <c r="A40" s="8" t="s">
        <v>31</v>
      </c>
      <c r="B40" s="8" t="s">
        <v>33</v>
      </c>
      <c r="C40" s="8" t="s">
        <v>58</v>
      </c>
      <c r="H40" s="8" t="s">
        <v>183</v>
      </c>
      <c r="I40" s="8" t="s">
        <v>184</v>
      </c>
      <c r="J40" s="8" t="s">
        <v>59</v>
      </c>
      <c r="K40" s="8" t="s">
        <v>217</v>
      </c>
    </row>
    <row r="41" spans="1:11" ht="25.5" x14ac:dyDescent="0.25">
      <c r="A41" s="8" t="s">
        <v>143</v>
      </c>
      <c r="B41" s="8" t="s">
        <v>227</v>
      </c>
      <c r="C41" s="8" t="s">
        <v>58</v>
      </c>
      <c r="H41" s="8" t="s">
        <v>59</v>
      </c>
      <c r="J41" s="8" t="s">
        <v>228</v>
      </c>
      <c r="K41" s="8" t="s">
        <v>228</v>
      </c>
    </row>
    <row r="42" spans="1:11" x14ac:dyDescent="0.25">
      <c r="A42" s="8" t="s">
        <v>154</v>
      </c>
      <c r="B42" s="8" t="s">
        <v>59</v>
      </c>
      <c r="C42" s="8" t="s">
        <v>58</v>
      </c>
      <c r="H42" s="8" t="s">
        <v>59</v>
      </c>
      <c r="J42" s="8" t="s">
        <v>155</v>
      </c>
      <c r="K42" s="8" t="s">
        <v>218</v>
      </c>
    </row>
    <row r="43" spans="1:11" x14ac:dyDescent="0.25">
      <c r="A43" s="8" t="s">
        <v>77</v>
      </c>
      <c r="B43" s="8" t="s">
        <v>78</v>
      </c>
      <c r="C43" s="8" t="s">
        <v>58</v>
      </c>
      <c r="I43" s="8" t="s">
        <v>79</v>
      </c>
      <c r="J43" s="8" t="s">
        <v>59</v>
      </c>
      <c r="K43" s="8" t="s">
        <v>219</v>
      </c>
    </row>
    <row r="44" spans="1:11" x14ac:dyDescent="0.25">
      <c r="A44" s="8" t="s">
        <v>44</v>
      </c>
      <c r="B44" s="8" t="s">
        <v>59</v>
      </c>
      <c r="C44" s="8" t="s">
        <v>58</v>
      </c>
      <c r="H44" s="8" t="s">
        <v>59</v>
      </c>
      <c r="J44" s="8" t="s">
        <v>158</v>
      </c>
      <c r="K44" s="8" t="s">
        <v>220</v>
      </c>
    </row>
    <row r="45" spans="1:11" x14ac:dyDescent="0.25">
      <c r="A45" s="8" t="s">
        <v>156</v>
      </c>
      <c r="B45" s="8" t="s">
        <v>59</v>
      </c>
      <c r="C45" s="8" t="s">
        <v>58</v>
      </c>
      <c r="G45" s="11" t="s">
        <v>157</v>
      </c>
      <c r="H45" s="8" t="s">
        <v>59</v>
      </c>
      <c r="J45" s="8" t="s">
        <v>59</v>
      </c>
      <c r="K45" s="8" t="s">
        <v>221</v>
      </c>
    </row>
    <row r="46" spans="1:11" ht="25.5" x14ac:dyDescent="0.25">
      <c r="A46" s="8" t="s">
        <v>147</v>
      </c>
      <c r="B46" s="8" t="s">
        <v>148</v>
      </c>
      <c r="C46" s="8" t="s">
        <v>98</v>
      </c>
      <c r="D46" s="8" t="s">
        <v>149</v>
      </c>
      <c r="F46" s="11" t="s">
        <v>150</v>
      </c>
      <c r="G46" s="11" t="s">
        <v>151</v>
      </c>
      <c r="H46" s="8" t="s">
        <v>59</v>
      </c>
      <c r="J46" s="8" t="s">
        <v>59</v>
      </c>
      <c r="K46" s="8" t="s">
        <v>222</v>
      </c>
    </row>
  </sheetData>
  <autoFilter ref="A2:K2" xr:uid="{00000000-0009-0000-0000-000000000000}"/>
  <sortState xmlns:xlrd2="http://schemas.microsoft.com/office/spreadsheetml/2017/richdata2" ref="A3:K45">
    <sortCondition ref="A3"/>
  </sortState>
  <mergeCells count="1">
    <mergeCell ref="B1:K1"/>
  </mergeCells>
  <dataValidations count="1">
    <dataValidation type="list" allowBlank="1" showInputMessage="1" showErrorMessage="1" sqref="C1:C1048576" xr:uid="{00000000-0002-0000-0000-000000000000}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G3"/>
  <sheetViews>
    <sheetView workbookViewId="0">
      <pane xSplit="1" ySplit="2" topLeftCell="C3" activePane="bottomRight" state="frozenSplit"/>
      <selection pane="topRight" activeCell="F1" sqref="F1"/>
      <selection pane="bottomLeft" activeCell="A20" sqref="A20"/>
      <selection pane="bottomRight" activeCell="G3" sqref="G3"/>
    </sheetView>
  </sheetViews>
  <sheetFormatPr defaultColWidth="9.140625" defaultRowHeight="12.75" x14ac:dyDescent="0.25"/>
  <cols>
    <col min="1" max="1" width="18.85546875" style="6" customWidth="1"/>
    <col min="2" max="2" width="30.85546875" style="6" customWidth="1"/>
    <col min="3" max="3" width="11.85546875" style="6" customWidth="1"/>
    <col min="4" max="6" width="37.85546875" style="6" customWidth="1"/>
    <col min="7" max="7" width="18.85546875" style="6" customWidth="1"/>
    <col min="8" max="16384" width="9.140625" style="6"/>
  </cols>
  <sheetData>
    <row r="1" spans="1:7" ht="21" x14ac:dyDescent="0.25">
      <c r="B1" s="19" t="s">
        <v>16</v>
      </c>
      <c r="C1" s="17"/>
      <c r="D1" s="17"/>
      <c r="E1" s="17"/>
      <c r="F1" s="17"/>
    </row>
    <row r="2" spans="1:7" s="7" customFormat="1" ht="15" x14ac:dyDescent="0.2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159</v>
      </c>
      <c r="G2" s="2" t="s">
        <v>171</v>
      </c>
    </row>
    <row r="3" spans="1:7" ht="127.5" x14ac:dyDescent="0.25">
      <c r="A3" s="6" t="s">
        <v>31</v>
      </c>
      <c r="B3" s="6" t="s">
        <v>31</v>
      </c>
      <c r="C3" s="6" t="s">
        <v>32</v>
      </c>
      <c r="D3" s="6" t="str">
        <f>FormattaTipo(A3)</f>
        <v>Type: string
Pattern: 4!c2!a2!c</v>
      </c>
      <c r="E3" s="6" t="s">
        <v>160</v>
      </c>
      <c r="F3" s="16" t="s">
        <v>177</v>
      </c>
      <c r="G3" s="16" t="s">
        <v>176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1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40625" defaultRowHeight="12.75" x14ac:dyDescent="0.25"/>
  <cols>
    <col min="1" max="1" width="18.85546875" style="6" customWidth="1"/>
    <col min="2" max="2" width="30.85546875" style="6" customWidth="1"/>
    <col min="3" max="3" width="11.85546875" style="6" customWidth="1"/>
    <col min="4" max="6" width="37.85546875" style="6" customWidth="1"/>
    <col min="7" max="7" width="18.85546875" style="6" customWidth="1"/>
    <col min="8" max="16384" width="9.140625" style="6"/>
  </cols>
  <sheetData>
    <row r="1" spans="1:7" ht="21" x14ac:dyDescent="0.25">
      <c r="B1" s="19" t="s">
        <v>17</v>
      </c>
      <c r="C1" s="17"/>
      <c r="D1" s="17"/>
      <c r="E1" s="17"/>
      <c r="F1" s="17"/>
    </row>
    <row r="2" spans="1:7" s="7" customFormat="1" ht="15" x14ac:dyDescent="0.2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159</v>
      </c>
      <c r="G2" s="2" t="s">
        <v>171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2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I6"/>
  <sheetViews>
    <sheetView tabSelected="1" zoomScale="115" zoomScaleNormal="11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I5" sqref="I5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8" width="37.85546875" style="6" customWidth="1"/>
    <col min="9" max="9" width="18.85546875" style="6" customWidth="1"/>
    <col min="10" max="16384" width="9.140625" style="6"/>
  </cols>
  <sheetData>
    <row r="1" spans="1:9" ht="21" x14ac:dyDescent="0.25">
      <c r="C1" s="19" t="s">
        <v>18</v>
      </c>
      <c r="D1" s="17"/>
      <c r="E1" s="17"/>
      <c r="F1" s="17"/>
      <c r="G1" s="17"/>
      <c r="H1" s="17"/>
    </row>
    <row r="2" spans="1:9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159</v>
      </c>
      <c r="I2" s="2" t="s">
        <v>171</v>
      </c>
    </row>
    <row r="3" spans="1:9" ht="25.5" x14ac:dyDescent="0.25">
      <c r="A3" s="6" t="s">
        <v>34</v>
      </c>
      <c r="C3" s="6" t="s">
        <v>35</v>
      </c>
      <c r="D3" s="6" t="str">
        <f>CalcolaParents($A$3:C3)</f>
        <v/>
      </c>
      <c r="E3" s="6" t="s">
        <v>32</v>
      </c>
      <c r="F3" s="6" t="str">
        <f>FormattaTipo(A3)</f>
        <v>Type: string
Pattern: YYYY-MM-DDTHH:MM:SS[.M{1,6}]</v>
      </c>
      <c r="G3" s="6" t="s">
        <v>165</v>
      </c>
    </row>
    <row r="4" spans="1:9" ht="102" x14ac:dyDescent="0.25">
      <c r="A4" s="16" t="s">
        <v>172</v>
      </c>
      <c r="B4" s="16"/>
      <c r="C4" s="16" t="s">
        <v>38</v>
      </c>
      <c r="D4" s="16" t="str">
        <f>CalcolaParents($A$3:C4)</f>
        <v/>
      </c>
      <c r="E4" s="16" t="s">
        <v>32</v>
      </c>
      <c r="F4" s="16" t="str">
        <f>FormattaTipo(A4)</f>
        <v>Type: string
Length: 11
Pattern: 4!c2!a2!c3!c</v>
      </c>
      <c r="G4" s="16" t="s">
        <v>166</v>
      </c>
      <c r="H4" s="16" t="s">
        <v>230</v>
      </c>
      <c r="I4" s="16" t="s">
        <v>231</v>
      </c>
    </row>
    <row r="5" spans="1:9" ht="127.5" x14ac:dyDescent="0.25">
      <c r="A5" s="6" t="s">
        <v>41</v>
      </c>
      <c r="C5" s="6" t="s">
        <v>42</v>
      </c>
      <c r="D5" s="6" t="str">
        <f>CalcolaParents($A$3:C5)</f>
        <v/>
      </c>
      <c r="E5" s="6" t="s">
        <v>32</v>
      </c>
      <c r="F5" s="6" t="str">
        <f>FormattaTipo(A5)</f>
        <v>Type: number
Format: double
Max Value: 999999999999999.99</v>
      </c>
      <c r="G5" s="6" t="s">
        <v>167</v>
      </c>
      <c r="H5" s="6" t="s">
        <v>185</v>
      </c>
    </row>
    <row r="6" spans="1:9" ht="38.25" x14ac:dyDescent="0.25">
      <c r="A6" s="6" t="s">
        <v>44</v>
      </c>
      <c r="C6" s="6" t="s">
        <v>45</v>
      </c>
      <c r="D6" s="6" t="str">
        <f>CalcolaParents($A$3:C6)</f>
        <v/>
      </c>
      <c r="E6" s="6" t="s">
        <v>32</v>
      </c>
      <c r="F6" s="6" t="str">
        <f>FormattaTipo(A6)</f>
        <v>Type: string
Allowed values: F,D</v>
      </c>
      <c r="G6" s="6" t="s">
        <v>168</v>
      </c>
      <c r="H6" s="6" t="s">
        <v>169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3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H4"/>
  <sheetViews>
    <sheetView workbookViewId="0">
      <pane xSplit="2" ySplit="2" topLeftCell="E3" activePane="bottomRight" state="frozenSplit"/>
      <selection pane="topRight" activeCell="F1" sqref="F1"/>
      <selection pane="bottomLeft" activeCell="A20" sqref="A20"/>
      <selection pane="bottomRight" activeCell="G4" activeCellId="1" sqref="H4 G4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x14ac:dyDescent="0.25">
      <c r="C1" s="20" t="s">
        <v>19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  <row r="3" spans="1:8" ht="25.5" x14ac:dyDescent="0.25">
      <c r="A3" s="6" t="s">
        <v>34</v>
      </c>
      <c r="C3" s="6" t="s">
        <v>35</v>
      </c>
      <c r="D3" s="6" t="str">
        <f>CalcolaParents($A$3:C3)</f>
        <v/>
      </c>
      <c r="E3" s="6" t="s">
        <v>32</v>
      </c>
      <c r="F3" s="6" t="str">
        <f>FormattaTipo(A3)</f>
        <v>Type: string
Pattern: YYYY-MM-DDTHH:MM:SS[.M{1,6}]</v>
      </c>
      <c r="G3" s="6" t="s">
        <v>161</v>
      </c>
    </row>
    <row r="4" spans="1:8" ht="63.75" x14ac:dyDescent="0.25">
      <c r="A4" s="6" t="s">
        <v>41</v>
      </c>
      <c r="C4" s="6" t="s">
        <v>46</v>
      </c>
      <c r="D4" s="6" t="str">
        <f>CalcolaParents($A$3:C4)</f>
        <v/>
      </c>
      <c r="E4" s="6" t="s">
        <v>32</v>
      </c>
      <c r="F4" s="6" t="str">
        <f>FormattaTipo(A4)</f>
        <v>Type: number
Format: double
Max Value: 999999999999999.99</v>
      </c>
      <c r="G4" s="16" t="s">
        <v>178</v>
      </c>
      <c r="H4" s="16" t="s">
        <v>175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4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x14ac:dyDescent="0.25">
      <c r="C1" s="20" t="s">
        <v>26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5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25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  <row r="3" spans="1:8" ht="25.5" x14ac:dyDescent="0.25">
      <c r="A3" s="6" t="s">
        <v>34</v>
      </c>
      <c r="C3" s="6" t="s">
        <v>35</v>
      </c>
      <c r="D3" s="6" t="str">
        <f>CalcolaParents($A$3:C3)</f>
        <v/>
      </c>
      <c r="E3" s="6" t="s">
        <v>32</v>
      </c>
      <c r="F3" s="6" t="str">
        <f>FormattaTipo(A3)</f>
        <v>Type: string
Pattern: YYYY-MM-DDTHH:MM:SS[.M{1,6}]</v>
      </c>
      <c r="G3" s="6" t="s">
        <v>161</v>
      </c>
    </row>
    <row r="4" spans="1:8" x14ac:dyDescent="0.25">
      <c r="A4" s="6" t="s">
        <v>47</v>
      </c>
      <c r="C4" s="6" t="s">
        <v>48</v>
      </c>
      <c r="D4" s="6" t="str">
        <f>CalcolaParents($A$3:C4)</f>
        <v/>
      </c>
      <c r="E4" s="6" t="s">
        <v>32</v>
      </c>
      <c r="F4" s="6" t="str">
        <f>FormattaTipo(A4)</f>
        <v>Type: string</v>
      </c>
      <c r="G4" s="6" t="s">
        <v>162</v>
      </c>
    </row>
    <row r="5" spans="1:8" ht="25.5" x14ac:dyDescent="0.25">
      <c r="A5" s="6" t="s">
        <v>50</v>
      </c>
      <c r="C5" s="6" t="s">
        <v>51</v>
      </c>
      <c r="D5" s="6" t="str">
        <f>CalcolaParents($A$3:C5)</f>
        <v/>
      </c>
      <c r="E5" s="6" t="s">
        <v>32</v>
      </c>
      <c r="F5" s="6" t="str">
        <f>FormattaTipo(A5)</f>
        <v>Type: string
Max Length: 255</v>
      </c>
      <c r="G5" s="6" t="s">
        <v>163</v>
      </c>
    </row>
    <row r="6" spans="1:8" ht="25.5" x14ac:dyDescent="0.25">
      <c r="A6" s="6" t="s">
        <v>53</v>
      </c>
      <c r="C6" s="6" t="s">
        <v>54</v>
      </c>
      <c r="D6" s="6" t="str">
        <f>CalcolaParents($A$3:C6)</f>
        <v/>
      </c>
      <c r="E6" s="6" t="s">
        <v>39</v>
      </c>
      <c r="F6" s="6" t="str">
        <f>FormattaTipo(A6)</f>
        <v>Type: string
Max Length: 36</v>
      </c>
      <c r="G6" s="6" t="s">
        <v>164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6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24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7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23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8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22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9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21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A00-000000000000}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40625" defaultRowHeight="12.75" x14ac:dyDescent="0.25"/>
  <cols>
    <col min="1" max="1" width="18.85546875" style="6" customWidth="1"/>
    <col min="2" max="4" width="30.85546875" style="6" customWidth="1"/>
    <col min="5" max="5" width="11.85546875" style="6" customWidth="1"/>
    <col min="6" max="7" width="37.85546875" style="6" customWidth="1"/>
    <col min="8" max="8" width="18.85546875" style="6" customWidth="1"/>
    <col min="9" max="16384" width="9.140625" style="6"/>
  </cols>
  <sheetData>
    <row r="1" spans="1:8" ht="19.5" customHeight="1" x14ac:dyDescent="0.25">
      <c r="C1" s="20" t="s">
        <v>20</v>
      </c>
      <c r="D1" s="21"/>
      <c r="E1" s="21"/>
      <c r="F1" s="21"/>
      <c r="G1" s="21"/>
    </row>
    <row r="2" spans="1:8" s="7" customFormat="1" ht="15" x14ac:dyDescent="0.2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00000000-0002-0000-0B00-000000000000}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272230ce22f754b07ac6b5f4cda5b762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b1ca153578c915789ce60028dfb43cb3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D64536-BF87-43C5-AFFE-70045704B2A3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d5d17fec-860f-4c53-bc48-b8d2395d3119"/>
    <ds:schemaRef ds:uri="http://schemas.microsoft.com/office/infopath/2007/PartnerControls"/>
    <ds:schemaRef ds:uri="http://purl.org/dc/elements/1.1/"/>
    <ds:schemaRef ds:uri="c2729170-ca00-465d-a27c-f75d491ce117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F8169F9-2ECA-47B9-8528-7EBFBFF174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EB4BF0-FB45-4063-A7FC-75BBC95302D8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</cp:lastModifiedBy>
  <dcterms:created xsi:type="dcterms:W3CDTF">2020-05-15T14:17:13Z</dcterms:created>
  <dcterms:modified xsi:type="dcterms:W3CDTF">2025-12-12T09:32:54Z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0bcfba19-2e61-4b97-b2a9-903455401afe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2023-06-01T09:26:29Z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14dda94f-baf1-4f62-ac13-322c6963394b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6252300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