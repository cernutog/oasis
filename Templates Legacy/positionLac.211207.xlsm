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1950" yWindow="195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2" l="1"/>
  <c r="F9" i="32"/>
  <c r="F6" i="31"/>
  <c r="F4" i="31"/>
  <c r="D5" i="32"/>
  <c r="F4" i="32"/>
  <c r="F5" i="31"/>
  <c r="F5" i="34"/>
  <c r="F3" i="34"/>
  <c r="F4" i="34"/>
  <c r="F3" i="31"/>
  <c r="F7" i="31"/>
  <c r="F5" i="32"/>
  <c r="D3" i="17"/>
  <c r="D4" i="32"/>
  <c r="D3" i="31"/>
  <c r="F6" i="34"/>
  <c r="F8" i="32"/>
  <c r="F6" i="32"/>
  <c r="F7" i="32"/>
  <c r="D3" i="34"/>
  <c r="F3" i="32"/>
  <c r="D4" i="31"/>
  <c r="D5" i="31"/>
  <c r="D4" i="34"/>
  <c r="D6" i="31"/>
  <c r="D7" i="31"/>
  <c r="D5" i="34"/>
  <c r="D6" i="34" s="1"/>
  <c r="D6" i="32"/>
  <c r="D7" i="32" s="1"/>
  <c r="D8" i="32" s="1"/>
  <c r="D9" i="32" s="1"/>
</calcChain>
</file>

<file path=xl/sharedStrings.xml><?xml version="1.0" encoding="utf-8"?>
<sst xmlns="http://schemas.openxmlformats.org/spreadsheetml/2006/main" count="485" uniqueCount="240">
  <si>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</si>
  <si>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</si>
  <si>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</si>
  <si>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</si>
  <si>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</si>
  <si>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</si>
  <si>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</si>
  <si>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</si>
  <si>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</si>
  <si>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</si>
  <si>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</si>
  <si>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</si>
  <si>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</si>
  <si>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</si>
  <si>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</si>
  <si>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</si>
  <si>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</si>
  <si>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</si>
  <si>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</si>
  <si>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</si>
  <si>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</si>
  <si>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</si>
  <si>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</si>
  <si>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</si>
  <si>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</si>
  <si>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</si>
  <si>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</si>
  <si>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</si>
  <si>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</si>
  <si>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</si>
  <si>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</si>
  <si>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</si>
  <si>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</si>
  <si>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</si>
  <si>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</si>
  <si>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</si>
  <si>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</si>
  <si>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</si>
  <si>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</si>
  <si>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</si>
  <si>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</si>
  <si>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Date</t>
  </si>
  <si>
    <t>businessDateFrom</t>
  </si>
  <si>
    <t>Standard ISO Date.</t>
  </si>
  <si>
    <t>businessDateTo</t>
  </si>
  <si>
    <t>LacNumber</t>
  </si>
  <si>
    <t>lacNumber</t>
  </si>
  <si>
    <t>The LAC in which the relevant LCR was generated</t>
  </si>
  <si>
    <t>positionHistory</t>
  </si>
  <si>
    <t>businessDate</t>
  </si>
  <si>
    <t>Sign</t>
  </si>
  <si>
    <t>Amount</t>
  </si>
  <si>
    <t>amount</t>
  </si>
  <si>
    <t>Standard Amount</t>
  </si>
  <si>
    <t>timeStamp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</si>
  <si>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</si>
  <si>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</si>
  <si>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</si>
  <si>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</si>
  <si>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</si>
  <si>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</si>
  <si>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</si>
  <si>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</si>
  <si>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</si>
  <si>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</si>
  <si>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</si>
  <si>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</si>
  <si>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</si>
  <si>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</si>
  <si>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</si>
  <si>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</si>
  <si>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</si>
  <si>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</si>
  <si>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</si>
  <si>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</si>
  <si>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</si>
  <si>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</si>
  <si>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</si>
  <si>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</si>
  <si>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</si>
  <si>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</si>
  <si>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</si>
  <si>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</si>
  <si>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</si>
  <si>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</si>
  <si>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</si>
  <si>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</si>
  <si>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</si>
  <si>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</si>
  <si>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</si>
  <si>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</si>
  <si>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</si>
  <si>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</si>
  <si>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</si>
  <si>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</si>
  <si>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</si>
  <si>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</si>
  <si>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</si>
  <si>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</si>
  <si>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</si>
  <si>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</si>
  <si>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</si>
  <si>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</si>
  <si>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</si>
  <si>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number</t>
  </si>
  <si>
    <t>double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</si>
  <si>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</si>
  <si>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</si>
  <si>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</si>
  <si>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</si>
  <si>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</si>
  <si>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</si>
  <si>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</si>
  <si>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</si>
  <si>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</si>
  <si>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</si>
  <si>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</si>
  <si>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</si>
  <si>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</si>
  <si>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</si>
  <si>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</si>
  <si>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</si>
  <si>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</si>
  <si>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</si>
  <si>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</si>
  <si>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</si>
  <si>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</si>
  <si>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</si>
  <si>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</si>
  <si>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</si>
  <si>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</si>
  <si>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</si>
  <si>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</si>
  <si>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</si>
  <si>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</si>
  <si>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</si>
  <si>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</si>
  <si>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</si>
  <si>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</si>
  <si>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</si>
  <si>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</si>
  <si>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</si>
  <si>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</si>
  <si>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</si>
  <si>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</si>
  <si>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</si>
  <si>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</si>
  <si>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</si>
  <si>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</si>
  <si>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</si>
  <si>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</si>
  <si>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</si>
  <si>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</si>
  <si>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</si>
  <si>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</si>
  <si>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</si>
  <si>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</si>
  <si>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</si>
  <si>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C,D</t>
  </si>
  <si>
    <t>User</t>
  </si>
  <si>
    <t>8</t>
  </si>
  <si>
    <t>TransferType</t>
  </si>
  <si>
    <t>F,D</t>
  </si>
  <si>
    <t>Validation Rules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</si>
  <si>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</si>
  <si>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</si>
  <si>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</si>
  <si>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</si>
  <si>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The BIC sending the API Request</t>
  </si>
  <si>
    <t>The STEP2 Settlement BIC owning liquidity position in CGS</t>
  </si>
  <si>
    <t>The lowest value of date range for searching.</t>
  </si>
  <si>
    <t>The highest value of date range for searching.</t>
  </si>
  <si>
    <t>It must be greater than or equal to the businessDateFrom and maximum the current business day (errorCode DT01)</t>
  </si>
  <si>
    <t>LAC number</t>
  </si>
  <si>
    <t>It can be maximum D-90 calendar days, where D is the current business day (errorCode DT01)
It must be a valid business date (errorCode DT01)</t>
  </si>
  <si>
    <t>It must a valid code
(errorCode SC01)</t>
  </si>
  <si>
    <t>The date and time of the API Request creation</t>
  </si>
  <si>
    <t>Amount corresponding to the position requested</t>
  </si>
  <si>
    <t>TimeStamp of the moment the system retrieved the position of the Participant</t>
  </si>
  <si>
    <t>The relevant LAC</t>
  </si>
  <si>
    <t>999999999999999.99</t>
  </si>
  <si>
    <t>0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</si>
  <si>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</si>
  <si>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</si>
  <si>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</si>
  <si>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</si>
  <si>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</si>
  <si>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
It must be a valid business date (errorCode DT01)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</si>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</sst>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6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0" fontId="8" fillId="0" borderId="0" xfId="0" applyNumberFormat="1" applyFont="1" applyFill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9" fillId="0" borderId="0" xfId="0" applyFont="1"/>
    <xf numFmtId="49" fontId="7" fillId="0" borderId="0" xfId="0" applyNumberFormat="1" applyFont="1" applyAlignment="1">
      <alignment horizontal="right" vertical="top" wrapText="1"/>
    </xf>
    <xf numFmtId="0" fontId="10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7"/>
  <sheetViews>
    <sheetView tabSelected="1" workbookViewId="0">
      <pane xSplit="1" ySplit="2" topLeftCell="E6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1" t="s">
        <v>8</v>
      </c>
      <c r="C1" s="21"/>
      <c r="D1" s="21"/>
      <c r="E1" s="21"/>
      <c r="F1" s="21"/>
      <c r="G1" s="21"/>
      <c r="H1" s="21"/>
      <c r="I1" s="21"/>
      <c r="J1" s="21"/>
      <c r="K1" s="22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182</v>
      </c>
    </row>
    <row r="3" spans="1:12" x14ac:dyDescent="0.35">
      <c r="A3" s="9" t="s">
        <v>51</v>
      </c>
      <c r="B3" s="9" t="s">
        <v>53</v>
      </c>
      <c r="C3" s="9" t="s">
        <v>104</v>
      </c>
      <c r="D3" s="9" t="s">
        <v>105</v>
      </c>
      <c r="F3" s="12" t="s">
        <v>181</v>
      </c>
      <c r="G3" s="12" t="s">
        <v>180</v>
      </c>
      <c r="H3" s="9" t="s">
        <v>67</v>
      </c>
      <c r="J3" s="9" t="s">
        <v>67</v>
      </c>
      <c r="K3" s="9" t="s">
        <v>196</v>
      </c>
    </row>
    <row r="4" spans="1:12" x14ac:dyDescent="0.35">
      <c r="A4" s="9" t="s">
        <v>29</v>
      </c>
      <c r="B4" s="9" t="s">
        <v>67</v>
      </c>
      <c r="C4" s="9" t="s">
        <v>29</v>
      </c>
      <c r="E4" s="9" t="s">
        <v>30</v>
      </c>
      <c r="J4" s="9" t="s">
        <v>67</v>
      </c>
      <c r="K4" s="9" t="s">
        <v>67</v>
      </c>
    </row>
    <row r="5" spans="1:12" ht="26" x14ac:dyDescent="0.35">
      <c r="A5" s="9" t="s">
        <v>37</v>
      </c>
      <c r="B5" s="9" t="s">
        <v>40</v>
      </c>
      <c r="C5" s="9" t="s">
        <v>66</v>
      </c>
      <c r="H5" s="9" t="s">
        <v>190</v>
      </c>
      <c r="I5" s="9" t="s">
        <v>191</v>
      </c>
      <c r="J5" s="9" t="s">
        <v>67</v>
      </c>
      <c r="K5" s="9" t="s">
        <v>197</v>
      </c>
    </row>
    <row r="6" spans="1:12" s="15" customFormat="1" ht="26" x14ac:dyDescent="0.35">
      <c r="A6" s="15" t="s">
        <v>183</v>
      </c>
      <c r="B6" s="16"/>
      <c r="C6" s="15" t="s">
        <v>66</v>
      </c>
      <c r="D6" s="16"/>
      <c r="E6" s="16"/>
      <c r="F6" s="17" t="s">
        <v>184</v>
      </c>
      <c r="G6" s="17" t="s">
        <v>184</v>
      </c>
      <c r="H6" s="15" t="s">
        <v>192</v>
      </c>
      <c r="I6" s="15" t="s">
        <v>193</v>
      </c>
      <c r="J6" s="16"/>
      <c r="K6" s="15" t="s">
        <v>198</v>
      </c>
      <c r="L6" s="13" t="s">
        <v>186</v>
      </c>
    </row>
    <row r="7" spans="1:12" x14ac:dyDescent="0.35">
      <c r="A7" s="9" t="s">
        <v>77</v>
      </c>
      <c r="B7" s="9" t="s">
        <v>78</v>
      </c>
      <c r="C7" s="9" t="s">
        <v>66</v>
      </c>
      <c r="H7" s="9" t="s">
        <v>194</v>
      </c>
      <c r="I7" s="9" t="s">
        <v>195</v>
      </c>
      <c r="J7" s="9" t="s">
        <v>67</v>
      </c>
      <c r="K7" s="9" t="s">
        <v>199</v>
      </c>
    </row>
    <row r="8" spans="1:12" x14ac:dyDescent="0.35">
      <c r="A8" s="9" t="s">
        <v>122</v>
      </c>
      <c r="B8" s="9" t="s">
        <v>123</v>
      </c>
      <c r="C8" s="9" t="s">
        <v>124</v>
      </c>
      <c r="H8" s="9" t="s">
        <v>67</v>
      </c>
      <c r="J8" s="9" t="s">
        <v>67</v>
      </c>
      <c r="K8" s="9" t="s">
        <v>200</v>
      </c>
    </row>
    <row r="9" spans="1:12" ht="39" x14ac:dyDescent="0.35">
      <c r="A9" s="9" t="s">
        <v>113</v>
      </c>
      <c r="B9" s="9" t="s">
        <v>114</v>
      </c>
      <c r="C9" s="9" t="s">
        <v>66</v>
      </c>
      <c r="I9" s="9" t="s">
        <v>115</v>
      </c>
      <c r="J9" s="9" t="s">
        <v>67</v>
      </c>
      <c r="K9" s="9" t="s">
        <v>201</v>
      </c>
    </row>
    <row r="10" spans="1:12" ht="26" x14ac:dyDescent="0.35">
      <c r="A10" s="9" t="s">
        <v>125</v>
      </c>
      <c r="B10" s="9" t="s">
        <v>126</v>
      </c>
      <c r="C10" s="9" t="s">
        <v>66</v>
      </c>
      <c r="G10" s="12" t="s">
        <v>127</v>
      </c>
      <c r="H10" s="9" t="s">
        <v>67</v>
      </c>
      <c r="J10" s="9" t="s">
        <v>67</v>
      </c>
      <c r="K10" s="9" t="s">
        <v>202</v>
      </c>
    </row>
    <row r="11" spans="1:12" ht="39" x14ac:dyDescent="0.35">
      <c r="A11" s="9" t="s">
        <v>131</v>
      </c>
      <c r="B11" s="9" t="s">
        <v>132</v>
      </c>
      <c r="C11" s="9" t="s">
        <v>66</v>
      </c>
      <c r="H11" s="9" t="s">
        <v>67</v>
      </c>
      <c r="J11" s="9" t="s">
        <v>133</v>
      </c>
      <c r="K11" s="9" t="s">
        <v>203</v>
      </c>
    </row>
    <row r="12" spans="1:12" ht="26" x14ac:dyDescent="0.35">
      <c r="A12" s="9" t="s">
        <v>128</v>
      </c>
      <c r="B12" s="9" t="s">
        <v>129</v>
      </c>
      <c r="C12" s="9" t="s">
        <v>66</v>
      </c>
      <c r="H12" s="9" t="s">
        <v>67</v>
      </c>
      <c r="J12" s="9" t="s">
        <v>130</v>
      </c>
      <c r="K12" s="9" t="s">
        <v>204</v>
      </c>
    </row>
    <row r="13" spans="1:12" x14ac:dyDescent="0.35">
      <c r="A13" s="9" t="s">
        <v>41</v>
      </c>
      <c r="B13" s="9" t="s">
        <v>43</v>
      </c>
      <c r="C13" s="9" t="s">
        <v>66</v>
      </c>
      <c r="H13" s="9" t="s">
        <v>79</v>
      </c>
      <c r="I13" s="9" t="s">
        <v>80</v>
      </c>
      <c r="J13" s="9" t="s">
        <v>67</v>
      </c>
      <c r="K13" s="9" t="s">
        <v>239</v>
      </c>
    </row>
    <row r="14" spans="1:12" ht="39" x14ac:dyDescent="0.35">
      <c r="A14" s="9" t="s">
        <v>34</v>
      </c>
      <c r="B14" s="9" t="s">
        <v>36</v>
      </c>
      <c r="C14" s="9" t="s">
        <v>66</v>
      </c>
      <c r="H14" s="9" t="s">
        <v>81</v>
      </c>
      <c r="I14" s="9" t="s">
        <v>82</v>
      </c>
      <c r="J14" s="9" t="s">
        <v>67</v>
      </c>
      <c r="K14" s="9" t="s">
        <v>205</v>
      </c>
    </row>
    <row r="15" spans="1:12" x14ac:dyDescent="0.35">
      <c r="A15" s="9" t="s">
        <v>148</v>
      </c>
      <c r="B15" s="9" t="s">
        <v>67</v>
      </c>
      <c r="C15" s="9" t="s">
        <v>104</v>
      </c>
      <c r="F15" s="12" t="s">
        <v>149</v>
      </c>
      <c r="G15" s="12" t="s">
        <v>150</v>
      </c>
      <c r="H15" s="9" t="s">
        <v>67</v>
      </c>
      <c r="J15" s="9" t="s">
        <v>67</v>
      </c>
      <c r="K15" s="9" t="s">
        <v>206</v>
      </c>
    </row>
    <row r="16" spans="1:12" x14ac:dyDescent="0.35">
      <c r="A16" s="9" t="s">
        <v>55</v>
      </c>
      <c r="B16" s="9" t="s">
        <v>57</v>
      </c>
      <c r="C16" s="9" t="s">
        <v>66</v>
      </c>
      <c r="I16" s="9" t="s">
        <v>100</v>
      </c>
      <c r="J16" s="9" t="s">
        <v>67</v>
      </c>
      <c r="K16" s="9" t="s">
        <v>207</v>
      </c>
    </row>
    <row r="17" spans="1:11" ht="26" x14ac:dyDescent="0.35">
      <c r="A17" s="9" t="s">
        <v>58</v>
      </c>
      <c r="B17" s="9" t="s">
        <v>60</v>
      </c>
      <c r="C17" s="9" t="s">
        <v>66</v>
      </c>
      <c r="G17" s="12" t="s">
        <v>101</v>
      </c>
      <c r="H17" s="9" t="s">
        <v>67</v>
      </c>
      <c r="J17" s="9" t="s">
        <v>67</v>
      </c>
      <c r="K17" s="9" t="s">
        <v>208</v>
      </c>
    </row>
    <row r="18" spans="1:11" ht="39" x14ac:dyDescent="0.35">
      <c r="A18" s="9" t="s">
        <v>137</v>
      </c>
      <c r="B18" s="9" t="s">
        <v>138</v>
      </c>
      <c r="C18" s="9" t="s">
        <v>66</v>
      </c>
      <c r="G18" s="12" t="s">
        <v>139</v>
      </c>
      <c r="H18" s="9" t="s">
        <v>67</v>
      </c>
      <c r="J18" s="9" t="s">
        <v>67</v>
      </c>
      <c r="K18" s="9" t="s">
        <v>209</v>
      </c>
    </row>
    <row r="19" spans="1:11" ht="26" x14ac:dyDescent="0.35">
      <c r="A19" s="9" t="s">
        <v>134</v>
      </c>
      <c r="B19" s="9" t="s">
        <v>135</v>
      </c>
      <c r="C19" s="9" t="s">
        <v>66</v>
      </c>
      <c r="H19" s="9" t="s">
        <v>67</v>
      </c>
      <c r="J19" s="9" t="s">
        <v>136</v>
      </c>
      <c r="K19" s="9" t="s">
        <v>210</v>
      </c>
    </row>
    <row r="20" spans="1:11" ht="65" x14ac:dyDescent="0.35">
      <c r="A20" s="9" t="s">
        <v>89</v>
      </c>
      <c r="B20" s="9" t="s">
        <v>233</v>
      </c>
      <c r="C20" s="9" t="s">
        <v>66</v>
      </c>
      <c r="H20" s="9" t="s">
        <v>90</v>
      </c>
      <c r="I20" s="9" t="s">
        <v>91</v>
      </c>
      <c r="J20" s="9" t="s">
        <v>67</v>
      </c>
      <c r="K20" s="9" t="s">
        <v>211</v>
      </c>
    </row>
    <row r="21" spans="1:11" x14ac:dyDescent="0.35">
      <c r="A21" s="9" t="s">
        <v>92</v>
      </c>
      <c r="B21" s="9" t="s">
        <v>93</v>
      </c>
      <c r="C21" s="9" t="s">
        <v>66</v>
      </c>
      <c r="H21" s="9" t="s">
        <v>67</v>
      </c>
      <c r="J21" s="9" t="s">
        <v>94</v>
      </c>
      <c r="K21" s="9" t="s">
        <v>212</v>
      </c>
    </row>
    <row r="22" spans="1:11" x14ac:dyDescent="0.35">
      <c r="A22" s="9" t="s">
        <v>86</v>
      </c>
      <c r="B22" s="9" t="s">
        <v>87</v>
      </c>
      <c r="C22" s="9" t="s">
        <v>66</v>
      </c>
      <c r="H22" s="9" t="s">
        <v>67</v>
      </c>
      <c r="J22" s="9" t="s">
        <v>88</v>
      </c>
      <c r="K22" s="9" t="s">
        <v>213</v>
      </c>
    </row>
    <row r="23" spans="1:11" ht="39" x14ac:dyDescent="0.35">
      <c r="A23" s="9" t="s">
        <v>71</v>
      </c>
      <c r="B23" s="9" t="s">
        <v>72</v>
      </c>
      <c r="C23" s="9" t="s">
        <v>66</v>
      </c>
      <c r="G23" s="12" t="s">
        <v>73</v>
      </c>
      <c r="H23" s="9" t="s">
        <v>67</v>
      </c>
      <c r="J23" s="9" t="s">
        <v>67</v>
      </c>
      <c r="K23" s="9" t="s">
        <v>214</v>
      </c>
    </row>
    <row r="24" spans="1:11" x14ac:dyDescent="0.35">
      <c r="A24" s="9" t="s">
        <v>74</v>
      </c>
      <c r="B24" s="9" t="s">
        <v>75</v>
      </c>
      <c r="C24" s="9" t="s">
        <v>66</v>
      </c>
      <c r="H24" s="9" t="s">
        <v>67</v>
      </c>
      <c r="J24" s="9" t="s">
        <v>76</v>
      </c>
      <c r="K24" s="9" t="s">
        <v>215</v>
      </c>
    </row>
    <row r="25" spans="1:11" x14ac:dyDescent="0.35">
      <c r="A25" s="9" t="s">
        <v>64</v>
      </c>
      <c r="B25" s="9" t="s">
        <v>65</v>
      </c>
      <c r="C25" s="9" t="s">
        <v>66</v>
      </c>
      <c r="H25" s="9" t="s">
        <v>67</v>
      </c>
      <c r="J25" s="9" t="s">
        <v>68</v>
      </c>
      <c r="K25" s="9" t="s">
        <v>216</v>
      </c>
    </row>
    <row r="26" spans="1:11" ht="26" x14ac:dyDescent="0.35">
      <c r="A26" s="9" t="s">
        <v>69</v>
      </c>
      <c r="B26" s="9" t="s">
        <v>65</v>
      </c>
      <c r="C26" s="9" t="s">
        <v>66</v>
      </c>
      <c r="H26" s="9" t="s">
        <v>67</v>
      </c>
      <c r="J26" s="9" t="s">
        <v>70</v>
      </c>
      <c r="K26" s="9" t="s">
        <v>217</v>
      </c>
    </row>
    <row r="27" spans="1:11" ht="26" x14ac:dyDescent="0.35">
      <c r="A27" s="9" t="s">
        <v>45</v>
      </c>
      <c r="B27" s="9" t="s">
        <v>47</v>
      </c>
      <c r="C27" s="9" t="s">
        <v>66</v>
      </c>
      <c r="I27" s="9" t="s">
        <v>143</v>
      </c>
      <c r="J27" s="9" t="s">
        <v>67</v>
      </c>
      <c r="K27" s="9" t="s">
        <v>218</v>
      </c>
    </row>
    <row r="28" spans="1:11" ht="26" x14ac:dyDescent="0.35">
      <c r="A28" s="9" t="s">
        <v>144</v>
      </c>
      <c r="B28" s="9" t="s">
        <v>145</v>
      </c>
      <c r="C28" s="9" t="s">
        <v>66</v>
      </c>
      <c r="H28" s="9" t="s">
        <v>67</v>
      </c>
      <c r="J28" s="9" t="s">
        <v>146</v>
      </c>
      <c r="K28" s="9" t="s">
        <v>219</v>
      </c>
    </row>
    <row r="29" spans="1:11" ht="26" x14ac:dyDescent="0.35">
      <c r="A29" s="9" t="s">
        <v>110</v>
      </c>
      <c r="B29" s="9" t="s">
        <v>111</v>
      </c>
      <c r="C29" s="9" t="s">
        <v>66</v>
      </c>
      <c r="H29" s="9" t="s">
        <v>67</v>
      </c>
      <c r="J29" s="9" t="s">
        <v>112</v>
      </c>
      <c r="K29" s="9" t="s">
        <v>220</v>
      </c>
    </row>
    <row r="30" spans="1:11" x14ac:dyDescent="0.35">
      <c r="A30" s="9" t="s">
        <v>156</v>
      </c>
      <c r="B30" s="9" t="s">
        <v>67</v>
      </c>
      <c r="C30" s="9" t="s">
        <v>66</v>
      </c>
      <c r="H30" s="9" t="s">
        <v>67</v>
      </c>
      <c r="J30" s="9" t="s">
        <v>157</v>
      </c>
      <c r="K30" s="9" t="s">
        <v>157</v>
      </c>
    </row>
    <row r="31" spans="1:11" ht="26" x14ac:dyDescent="0.35">
      <c r="A31" s="9" t="s">
        <v>98</v>
      </c>
      <c r="B31" s="9" t="s">
        <v>99</v>
      </c>
      <c r="C31" s="9" t="s">
        <v>66</v>
      </c>
      <c r="H31" s="9" t="s">
        <v>67</v>
      </c>
      <c r="J31" s="9" t="s">
        <v>234</v>
      </c>
      <c r="K31" s="9" t="s">
        <v>235</v>
      </c>
    </row>
    <row r="32" spans="1:11" ht="39" x14ac:dyDescent="0.35">
      <c r="A32" s="9" t="s">
        <v>95</v>
      </c>
      <c r="B32" s="9" t="s">
        <v>96</v>
      </c>
      <c r="C32" s="9" t="s">
        <v>66</v>
      </c>
      <c r="I32" s="9" t="s">
        <v>97</v>
      </c>
      <c r="J32" s="9" t="s">
        <v>67</v>
      </c>
      <c r="K32" s="9" t="s">
        <v>236</v>
      </c>
    </row>
    <row r="33" spans="1:11" x14ac:dyDescent="0.35">
      <c r="A33" s="9" t="s">
        <v>106</v>
      </c>
      <c r="B33" s="9" t="s">
        <v>107</v>
      </c>
      <c r="C33" s="9" t="s">
        <v>104</v>
      </c>
      <c r="D33" s="9" t="s">
        <v>108</v>
      </c>
      <c r="G33" s="12" t="s">
        <v>109</v>
      </c>
      <c r="H33" s="9" t="s">
        <v>67</v>
      </c>
      <c r="J33" s="9" t="s">
        <v>67</v>
      </c>
      <c r="K33" s="9" t="s">
        <v>221</v>
      </c>
    </row>
    <row r="34" spans="1:11" x14ac:dyDescent="0.35">
      <c r="A34" s="9" t="s">
        <v>30</v>
      </c>
      <c r="B34" s="9" t="s">
        <v>67</v>
      </c>
      <c r="C34" s="9" t="s">
        <v>30</v>
      </c>
      <c r="J34" s="9" t="s">
        <v>67</v>
      </c>
      <c r="K34" s="9" t="s">
        <v>67</v>
      </c>
    </row>
    <row r="35" spans="1:11" ht="39" x14ac:dyDescent="0.35">
      <c r="A35" s="9" t="s">
        <v>102</v>
      </c>
      <c r="B35" s="9" t="s">
        <v>103</v>
      </c>
      <c r="C35" s="9" t="s">
        <v>66</v>
      </c>
      <c r="H35" s="9" t="s">
        <v>67</v>
      </c>
      <c r="J35" s="9" t="s">
        <v>67</v>
      </c>
      <c r="K35" s="9" t="s">
        <v>222</v>
      </c>
    </row>
    <row r="36" spans="1:11" ht="52" x14ac:dyDescent="0.35">
      <c r="A36" s="9" t="s">
        <v>141</v>
      </c>
      <c r="B36" s="9" t="s">
        <v>142</v>
      </c>
      <c r="C36" s="9" t="s">
        <v>66</v>
      </c>
      <c r="G36" s="12" t="s">
        <v>73</v>
      </c>
      <c r="H36" s="9" t="s">
        <v>67</v>
      </c>
      <c r="J36" s="9" t="s">
        <v>67</v>
      </c>
      <c r="K36" s="9" t="s">
        <v>223</v>
      </c>
    </row>
    <row r="37" spans="1:11" ht="26" x14ac:dyDescent="0.35">
      <c r="A37" s="9" t="s">
        <v>116</v>
      </c>
      <c r="B37" s="9" t="s">
        <v>117</v>
      </c>
      <c r="C37" s="9" t="s">
        <v>66</v>
      </c>
      <c r="I37" s="9" t="s">
        <v>118</v>
      </c>
      <c r="J37" s="9" t="s">
        <v>67</v>
      </c>
      <c r="K37" s="9" t="s">
        <v>224</v>
      </c>
    </row>
    <row r="38" spans="1:11" ht="26" x14ac:dyDescent="0.35">
      <c r="A38" s="9" t="s">
        <v>119</v>
      </c>
      <c r="B38" s="9" t="s">
        <v>120</v>
      </c>
      <c r="C38" s="9" t="s">
        <v>66</v>
      </c>
      <c r="H38" s="9" t="s">
        <v>67</v>
      </c>
      <c r="J38" s="9" t="s">
        <v>121</v>
      </c>
      <c r="K38" s="9" t="s">
        <v>225</v>
      </c>
    </row>
    <row r="39" spans="1:11" x14ac:dyDescent="0.35">
      <c r="A39" s="9" t="s">
        <v>48</v>
      </c>
      <c r="B39" s="9" t="s">
        <v>67</v>
      </c>
      <c r="C39" s="9" t="s">
        <v>29</v>
      </c>
      <c r="E39" s="9" t="s">
        <v>30</v>
      </c>
      <c r="H39" s="9" t="s">
        <v>67</v>
      </c>
      <c r="J39" s="9" t="s">
        <v>67</v>
      </c>
      <c r="K39" s="9" t="s">
        <v>67</v>
      </c>
    </row>
    <row r="40" spans="1:11" ht="39" x14ac:dyDescent="0.35">
      <c r="A40" s="9" t="s">
        <v>61</v>
      </c>
      <c r="B40" s="9" t="s">
        <v>63</v>
      </c>
      <c r="C40" s="9" t="s">
        <v>66</v>
      </c>
      <c r="G40" s="12" t="s">
        <v>140</v>
      </c>
      <c r="H40" s="9" t="s">
        <v>67</v>
      </c>
      <c r="J40" s="9" t="s">
        <v>67</v>
      </c>
      <c r="K40" s="9" t="s">
        <v>226</v>
      </c>
    </row>
    <row r="41" spans="1:11" x14ac:dyDescent="0.35">
      <c r="A41" s="9" t="s">
        <v>31</v>
      </c>
      <c r="B41" s="9" t="s">
        <v>33</v>
      </c>
      <c r="C41" s="9" t="s">
        <v>66</v>
      </c>
      <c r="H41" s="9" t="s">
        <v>194</v>
      </c>
      <c r="I41" s="9" t="s">
        <v>195</v>
      </c>
      <c r="J41" s="9" t="s">
        <v>67</v>
      </c>
      <c r="K41" s="9" t="s">
        <v>227</v>
      </c>
    </row>
    <row r="42" spans="1:11" ht="26" x14ac:dyDescent="0.35">
      <c r="A42" s="9" t="s">
        <v>147</v>
      </c>
      <c r="B42" s="9" t="s">
        <v>237</v>
      </c>
      <c r="C42" s="9" t="s">
        <v>66</v>
      </c>
      <c r="H42" s="9" t="s">
        <v>67</v>
      </c>
      <c r="J42" s="9" t="s">
        <v>238</v>
      </c>
      <c r="K42" s="9" t="s">
        <v>238</v>
      </c>
    </row>
    <row r="43" spans="1:11" x14ac:dyDescent="0.35">
      <c r="A43" s="9" t="s">
        <v>50</v>
      </c>
      <c r="B43" s="9" t="s">
        <v>67</v>
      </c>
      <c r="C43" s="9" t="s">
        <v>66</v>
      </c>
      <c r="H43" s="9" t="s">
        <v>67</v>
      </c>
      <c r="J43" s="9" t="s">
        <v>158</v>
      </c>
      <c r="K43" s="9" t="s">
        <v>228</v>
      </c>
    </row>
    <row r="44" spans="1:11" x14ac:dyDescent="0.35">
      <c r="A44" s="9" t="s">
        <v>83</v>
      </c>
      <c r="B44" s="9" t="s">
        <v>84</v>
      </c>
      <c r="C44" s="9" t="s">
        <v>66</v>
      </c>
      <c r="I44" s="9" t="s">
        <v>85</v>
      </c>
      <c r="J44" s="9" t="s">
        <v>67</v>
      </c>
      <c r="K44" s="9" t="s">
        <v>229</v>
      </c>
    </row>
    <row r="45" spans="1:11" x14ac:dyDescent="0.35">
      <c r="A45" s="9" t="s">
        <v>161</v>
      </c>
      <c r="B45" s="9" t="s">
        <v>67</v>
      </c>
      <c r="C45" s="9" t="s">
        <v>66</v>
      </c>
      <c r="H45" s="9" t="s">
        <v>67</v>
      </c>
      <c r="J45" s="9" t="s">
        <v>162</v>
      </c>
      <c r="K45" s="9" t="s">
        <v>230</v>
      </c>
    </row>
    <row r="46" spans="1:11" x14ac:dyDescent="0.35">
      <c r="A46" s="9" t="s">
        <v>159</v>
      </c>
      <c r="B46" s="9" t="s">
        <v>67</v>
      </c>
      <c r="C46" s="9" t="s">
        <v>66</v>
      </c>
      <c r="G46" s="12" t="s">
        <v>160</v>
      </c>
      <c r="H46" s="9" t="s">
        <v>67</v>
      </c>
      <c r="J46" s="9" t="s">
        <v>67</v>
      </c>
      <c r="K46" s="9" t="s">
        <v>231</v>
      </c>
    </row>
    <row r="47" spans="1:11" ht="26" x14ac:dyDescent="0.35">
      <c r="A47" s="9" t="s">
        <v>151</v>
      </c>
      <c r="B47" s="9" t="s">
        <v>152</v>
      </c>
      <c r="C47" s="9" t="s">
        <v>104</v>
      </c>
      <c r="D47" s="9" t="s">
        <v>153</v>
      </c>
      <c r="F47" s="12" t="s">
        <v>154</v>
      </c>
      <c r="G47" s="12" t="s">
        <v>155</v>
      </c>
      <c r="H47" s="9" t="s">
        <v>67</v>
      </c>
      <c r="J47" s="9" t="s">
        <v>67</v>
      </c>
      <c r="K47" s="9" t="s">
        <v>232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3" t="s">
        <v>16</v>
      </c>
      <c r="C1" s="21"/>
      <c r="D1" s="21"/>
      <c r="E1" s="21"/>
      <c r="F1" s="21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163</v>
      </c>
      <c r="G2" s="2" t="s">
        <v>182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168</v>
      </c>
      <c r="F3" s="7" t="s">
        <v>189</v>
      </c>
      <c r="G3" s="18" t="s">
        <v>188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3" t="s">
        <v>17</v>
      </c>
      <c r="C1" s="21"/>
      <c r="D1" s="21"/>
      <c r="E1" s="21"/>
      <c r="F1" s="21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163</v>
      </c>
      <c r="G2" s="2" t="s">
        <v>182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7"/>
  <sheetViews>
    <sheetView zoomScale="70" zoomScaleNormal="70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E5" sqref="E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3" t="s">
        <v>18</v>
      </c>
      <c r="D1" s="21"/>
      <c r="E1" s="21"/>
      <c r="F1" s="21"/>
      <c r="G1" s="21"/>
      <c r="H1" s="21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163</v>
      </c>
      <c r="I2" s="2" t="s">
        <v>182</v>
      </c>
    </row>
    <row r="3" spans="1:9" ht="26" x14ac:dyDescent="0.35">
      <c r="A3" s="19" t="s">
        <v>34</v>
      </c>
      <c r="B3" s="19"/>
      <c r="C3" s="20" t="s">
        <v>35</v>
      </c>
      <c r="D3" s="20" t="str">
        <f>CalcolaParents($A$3:C3)</f>
        <v/>
      </c>
      <c r="E3" s="20" t="s">
        <v>32</v>
      </c>
      <c r="F3" s="20" t="str">
        <f>FormattaTipo(A3)</f>
        <v>Type: string
Pattern: YYYY-MM-DDTHH:MM:SS[.M{1,6}]</v>
      </c>
      <c r="G3" s="20" t="s">
        <v>176</v>
      </c>
      <c r="H3" s="20"/>
      <c r="I3" s="19"/>
    </row>
    <row r="4" spans="1:9" ht="78" x14ac:dyDescent="0.35">
      <c r="A4" s="19" t="s">
        <v>183</v>
      </c>
      <c r="B4" s="19"/>
      <c r="C4" s="20" t="s">
        <v>38</v>
      </c>
      <c r="D4" s="20" t="str">
        <f>CalcolaParents($A$3:C4)</f>
        <v/>
      </c>
      <c r="E4" s="20" t="s">
        <v>32</v>
      </c>
      <c r="F4" s="20" t="str">
        <f>FormattaTipo(A4)</f>
        <v>Type: string
Length: 11
Pattern: 4!c2!a2!c3!c</v>
      </c>
      <c r="G4" s="20" t="s">
        <v>169</v>
      </c>
      <c r="H4" s="20" t="s">
        <v>187</v>
      </c>
      <c r="I4" s="20" t="s">
        <v>185</v>
      </c>
    </row>
    <row r="5" spans="1:9" ht="52" x14ac:dyDescent="0.35">
      <c r="A5" s="19" t="s">
        <v>41</v>
      </c>
      <c r="B5" s="19"/>
      <c r="C5" s="20" t="s">
        <v>42</v>
      </c>
      <c r="D5" s="20" t="str">
        <f>CalcolaParents($A$3:C5)</f>
        <v/>
      </c>
      <c r="E5" s="20" t="s">
        <v>32</v>
      </c>
      <c r="F5" s="20" t="str">
        <f>FormattaTipo(A5)</f>
        <v>Type: string
Pattern: YYYY-MM-DD</v>
      </c>
      <c r="G5" s="20" t="s">
        <v>170</v>
      </c>
      <c r="H5" s="20" t="s">
        <v>174</v>
      </c>
      <c r="I5" s="19"/>
    </row>
    <row r="6" spans="1:9" ht="39" x14ac:dyDescent="0.35">
      <c r="A6" s="19" t="s">
        <v>41</v>
      </c>
      <c r="B6" s="19"/>
      <c r="C6" s="20" t="s">
        <v>44</v>
      </c>
      <c r="D6" s="20" t="str">
        <f>CalcolaParents($A$3:C6)</f>
        <v/>
      </c>
      <c r="E6" s="20" t="s">
        <v>32</v>
      </c>
      <c r="F6" s="20" t="str">
        <f>FormattaTipo(A6)</f>
        <v>Type: string
Pattern: YYYY-MM-DD</v>
      </c>
      <c r="G6" s="20" t="s">
        <v>171</v>
      </c>
      <c r="H6" s="20" t="s">
        <v>172</v>
      </c>
      <c r="I6" s="19"/>
    </row>
    <row r="7" spans="1:9" ht="26" x14ac:dyDescent="0.35">
      <c r="A7" s="19" t="s">
        <v>45</v>
      </c>
      <c r="B7" s="19"/>
      <c r="C7" s="20" t="s">
        <v>46</v>
      </c>
      <c r="D7" s="20" t="str">
        <f>CalcolaParents($A$3:C7)</f>
        <v/>
      </c>
      <c r="E7" s="20" t="s">
        <v>32</v>
      </c>
      <c r="F7" s="20" t="str">
        <f>FormattaTipo(A7)</f>
        <v>Type: string</v>
      </c>
      <c r="G7" s="20" t="s">
        <v>173</v>
      </c>
      <c r="H7" s="20" t="s">
        <v>175</v>
      </c>
      <c r="I7" s="19"/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10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D5" sqref="D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4" t="s">
        <v>19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  <row r="3" spans="1:8" ht="26" x14ac:dyDescent="0.35">
      <c r="A3" s="19" t="s">
        <v>34</v>
      </c>
      <c r="B3" s="19"/>
      <c r="C3" s="20" t="s">
        <v>35</v>
      </c>
      <c r="D3" s="20" t="str">
        <f>CalcolaParents($A$3:C3)</f>
        <v/>
      </c>
      <c r="E3" s="20" t="s">
        <v>32</v>
      </c>
      <c r="F3" s="20" t="str">
        <f t="shared" ref="F3:F9" si="0">FormattaTipo(A3)</f>
        <v>Type: string
Pattern: YYYY-MM-DDTHH:MM:SS[.M{1,6}]</v>
      </c>
      <c r="G3" s="20" t="s">
        <v>164</v>
      </c>
      <c r="H3" s="19"/>
    </row>
    <row r="4" spans="1:8" ht="26" x14ac:dyDescent="0.35">
      <c r="A4" s="19" t="s">
        <v>48</v>
      </c>
      <c r="B4" s="19"/>
      <c r="C4" s="20" t="s">
        <v>48</v>
      </c>
      <c r="D4" s="20" t="str">
        <f>CalcolaParents($A$3:C4)</f>
        <v/>
      </c>
      <c r="E4" s="20" t="s">
        <v>32</v>
      </c>
      <c r="F4" s="20" t="str">
        <f t="shared" si="0"/>
        <v>Type: array
 Items type: object</v>
      </c>
      <c r="G4" s="20"/>
      <c r="H4" s="19"/>
    </row>
    <row r="5" spans="1:8" ht="39" x14ac:dyDescent="0.35">
      <c r="A5" s="19" t="s">
        <v>183</v>
      </c>
      <c r="B5" s="19" t="s">
        <v>48</v>
      </c>
      <c r="C5" s="20" t="s">
        <v>38</v>
      </c>
      <c r="D5" s="20" t="str">
        <f>CalcolaParents($A$3:C5)</f>
        <v>positionHistory</v>
      </c>
      <c r="E5" s="20" t="s">
        <v>32</v>
      </c>
      <c r="F5" s="20" t="str">
        <f t="shared" si="0"/>
        <v>Type: string
Length: 11
Pattern: 4!c2!a2!c3!c</v>
      </c>
      <c r="G5" s="20"/>
      <c r="H5" s="20" t="s">
        <v>185</v>
      </c>
    </row>
    <row r="6" spans="1:8" ht="26" x14ac:dyDescent="0.35">
      <c r="A6" s="19" t="s">
        <v>41</v>
      </c>
      <c r="B6" s="19" t="s">
        <v>48</v>
      </c>
      <c r="C6" s="20" t="s">
        <v>49</v>
      </c>
      <c r="D6" s="20" t="str">
        <f>CalcolaParents($A$3:C6)</f>
        <v>positionHistory</v>
      </c>
      <c r="E6" s="20" t="s">
        <v>32</v>
      </c>
      <c r="F6" s="20" t="str">
        <f t="shared" si="0"/>
        <v>Type: string
Pattern: YYYY-MM-DD</v>
      </c>
      <c r="G6" s="20" t="s">
        <v>169</v>
      </c>
      <c r="H6" s="19"/>
    </row>
    <row r="7" spans="1:8" x14ac:dyDescent="0.35">
      <c r="A7" s="19" t="s">
        <v>45</v>
      </c>
      <c r="B7" s="19" t="s">
        <v>48</v>
      </c>
      <c r="C7" s="20" t="s">
        <v>46</v>
      </c>
      <c r="D7" s="20" t="str">
        <f>CalcolaParents($A$3:C7)</f>
        <v>positionHistory</v>
      </c>
      <c r="E7" s="20" t="s">
        <v>32</v>
      </c>
      <c r="F7" s="20" t="str">
        <f t="shared" si="0"/>
        <v>Type: string</v>
      </c>
      <c r="G7" s="20" t="s">
        <v>179</v>
      </c>
      <c r="H7" s="19"/>
    </row>
    <row r="8" spans="1:8" ht="52" x14ac:dyDescent="0.35">
      <c r="A8" s="14" t="s">
        <v>51</v>
      </c>
      <c r="B8" s="19" t="s">
        <v>48</v>
      </c>
      <c r="C8" s="20" t="s">
        <v>52</v>
      </c>
      <c r="D8" s="20" t="str">
        <f>CalcolaParents($A$3:C8)</f>
        <v>positionHistory</v>
      </c>
      <c r="E8" s="20" t="s">
        <v>32</v>
      </c>
      <c r="F8" s="20" t="str">
        <f t="shared" si="0"/>
        <v>Type: number
Format: double
Min Value: 0
Max Value: 999999999999999.99</v>
      </c>
      <c r="G8" s="20" t="s">
        <v>177</v>
      </c>
      <c r="H8" s="14"/>
    </row>
    <row r="9" spans="1:8" ht="26" x14ac:dyDescent="0.35">
      <c r="A9" s="19" t="s">
        <v>34</v>
      </c>
      <c r="B9" s="19" t="s">
        <v>48</v>
      </c>
      <c r="C9" s="20" t="s">
        <v>54</v>
      </c>
      <c r="D9" s="20" t="str">
        <f>CalcolaParents($A$3:C9)</f>
        <v>positionHistory</v>
      </c>
      <c r="E9" s="20" t="s">
        <v>32</v>
      </c>
      <c r="F9" s="20" t="str">
        <f t="shared" si="0"/>
        <v>Type: string
Pattern: YYYY-MM-DDTHH:MM:SS[.M{1,6}]</v>
      </c>
      <c r="G9" s="20" t="s">
        <v>178</v>
      </c>
      <c r="H9" s="19"/>
    </row>
    <row r="10" spans="1:8" x14ac:dyDescent="0.35">
      <c r="A10" s="19"/>
      <c r="B10" s="19"/>
      <c r="C10" s="20"/>
      <c r="D10" s="20"/>
      <c r="E10" s="20"/>
      <c r="F10" s="20"/>
      <c r="G10" s="20"/>
      <c r="H10" s="19"/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4" t="s">
        <v>26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4" t="s">
        <v>25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164</v>
      </c>
    </row>
    <row r="4" spans="1:8" x14ac:dyDescent="0.35">
      <c r="A4" s="6" t="s">
        <v>55</v>
      </c>
      <c r="C4" s="7" t="s">
        <v>56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165</v>
      </c>
    </row>
    <row r="5" spans="1:8" ht="26" x14ac:dyDescent="0.35">
      <c r="A5" s="6" t="s">
        <v>58</v>
      </c>
      <c r="C5" s="7" t="s">
        <v>59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166</v>
      </c>
    </row>
    <row r="6" spans="1:8" ht="26" x14ac:dyDescent="0.35">
      <c r="A6" s="6" t="s">
        <v>61</v>
      </c>
      <c r="C6" s="7" t="s">
        <v>62</v>
      </c>
      <c r="D6" s="7" t="str">
        <f>CalcolaParents($A$3:C6)</f>
        <v/>
      </c>
      <c r="E6" s="7" t="s">
        <v>39</v>
      </c>
      <c r="F6" s="7" t="str">
        <f>FormattaTipo(A6)</f>
        <v>Type: string
Max Length: 36</v>
      </c>
      <c r="G6" s="7" t="s">
        <v>167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4" t="s">
        <v>24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4" t="s">
        <v>23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4" t="s">
        <v>22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4" t="s">
        <v>21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4" t="s">
        <v>20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182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AD1F36CA-AD45-4080-82A7-B8BC7CF3C4E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0D9B7A-5BD0-4D87-9974-DC5E126459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846A2C-BA92-41E2-883B-01A82C4390CD}">
  <ds:schemaRefs>
    <ds:schemaRef ds:uri="http://purl.org/dc/dcmitype/"/>
    <ds:schemaRef ds:uri="c2729170-ca00-465d-a27c-f75d491ce117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d5d17fec-860f-4c53-bc48-b8d2395d311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46844f74-4558-4d9a-8f09-cf86f48f5051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2023-03-01T14:58:02Z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9f443070-9ecb-4758-9efb-9d6b7e8ebbce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6253200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